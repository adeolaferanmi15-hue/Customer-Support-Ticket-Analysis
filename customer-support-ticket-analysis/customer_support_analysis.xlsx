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Libra Circle\Downloads\"/>
    </mc:Choice>
  </mc:AlternateContent>
  <xr:revisionPtr revIDLastSave="0" documentId="8_{D6A53705-6CEF-43CD-8516-682DDD0CBA56}" xr6:coauthVersionLast="47" xr6:coauthVersionMax="47" xr10:uidLastSave="{00000000-0000-0000-0000-000000000000}"/>
  <bookViews>
    <workbookView xWindow="-110" yWindow="-110" windowWidth="19420" windowHeight="10300" activeTab="3" xr2:uid="{00000000-000D-0000-FFFF-FFFF00000000}"/>
  </bookViews>
  <sheets>
    <sheet name="messy data" sheetId="1" r:id="rId1"/>
    <sheet name="clean data" sheetId="3" r:id="rId2"/>
    <sheet name="Analysis" sheetId="2" r:id="rId3"/>
    <sheet name="Charts" sheetId="5" r:id="rId4"/>
  </sheets>
  <definedNames>
    <definedName name="Slicer_Status">#N/A</definedName>
  </definedNames>
  <calcPr calcId="191029"/>
  <pivotCaches>
    <pivotCache cacheId="350" r:id="rId5"/>
  </pivotCaches>
  <fileRecoveryPr repairLoad="1"/>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3" l="1"/>
  <c r="L8" i="3"/>
  <c r="L10" i="3"/>
  <c r="L12" i="3"/>
  <c r="L16" i="3"/>
  <c r="L18" i="3"/>
  <c r="L20" i="3"/>
  <c r="L24" i="3"/>
  <c r="L26" i="3"/>
  <c r="L28" i="3"/>
  <c r="L32" i="3"/>
  <c r="L34" i="3"/>
  <c r="L36" i="3"/>
  <c r="L40" i="3"/>
  <c r="L42" i="3"/>
  <c r="L44" i="3"/>
  <c r="L48" i="3"/>
  <c r="L50" i="3"/>
  <c r="L52" i="3"/>
  <c r="L56" i="3"/>
  <c r="L58" i="3"/>
  <c r="L60" i="3"/>
  <c r="L64" i="3"/>
  <c r="L66" i="3"/>
  <c r="L68" i="3"/>
  <c r="L72" i="3"/>
  <c r="L74" i="3"/>
  <c r="L76" i="3"/>
  <c r="L80" i="3"/>
  <c r="L82" i="3"/>
  <c r="L84" i="3"/>
  <c r="L88" i="3"/>
  <c r="L90" i="3"/>
  <c r="L92" i="3"/>
  <c r="L96" i="3"/>
  <c r="L98" i="3"/>
  <c r="L100" i="3"/>
  <c r="L104" i="3"/>
  <c r="L106" i="3"/>
  <c r="L108" i="3"/>
  <c r="L112" i="3"/>
  <c r="L114" i="3"/>
  <c r="L116" i="3"/>
  <c r="L120" i="3"/>
  <c r="L122" i="3"/>
  <c r="L124" i="3"/>
  <c r="L128" i="3"/>
  <c r="L3" i="3"/>
  <c r="L5" i="3"/>
  <c r="L6" i="3"/>
  <c r="L7" i="3"/>
  <c r="L9" i="3"/>
  <c r="L11" i="3"/>
  <c r="L13" i="3"/>
  <c r="L14" i="3"/>
  <c r="L15" i="3"/>
  <c r="L17" i="3"/>
  <c r="L19" i="3"/>
  <c r="L21" i="3"/>
  <c r="L22" i="3"/>
  <c r="L23" i="3"/>
  <c r="L25" i="3"/>
  <c r="L27" i="3"/>
  <c r="L29" i="3"/>
  <c r="L30" i="3"/>
  <c r="L31" i="3"/>
  <c r="L33" i="3"/>
  <c r="L35" i="3"/>
  <c r="L37" i="3"/>
  <c r="L38" i="3"/>
  <c r="L39" i="3"/>
  <c r="L41" i="3"/>
  <c r="L43" i="3"/>
  <c r="L45" i="3"/>
  <c r="L46" i="3"/>
  <c r="L47" i="3"/>
  <c r="L49" i="3"/>
  <c r="L51" i="3"/>
  <c r="L53" i="3"/>
  <c r="L54" i="3"/>
  <c r="L55" i="3"/>
  <c r="L57" i="3"/>
  <c r="L59" i="3"/>
  <c r="L61" i="3"/>
  <c r="L62" i="3"/>
  <c r="L63" i="3"/>
  <c r="L65" i="3"/>
  <c r="L67" i="3"/>
  <c r="L69" i="3"/>
  <c r="L70" i="3"/>
  <c r="L71" i="3"/>
  <c r="L73" i="3"/>
  <c r="L75" i="3"/>
  <c r="L77" i="3"/>
  <c r="L78" i="3"/>
  <c r="L79" i="3"/>
  <c r="L81" i="3"/>
  <c r="L83" i="3"/>
  <c r="L85" i="3"/>
  <c r="L86" i="3"/>
  <c r="L87" i="3"/>
  <c r="L89" i="3"/>
  <c r="L91" i="3"/>
  <c r="L93" i="3"/>
  <c r="L94" i="3"/>
  <c r="L95" i="3"/>
  <c r="L97" i="3"/>
  <c r="L99" i="3"/>
  <c r="L101" i="3"/>
  <c r="L102" i="3"/>
  <c r="L103" i="3"/>
  <c r="L105" i="3"/>
  <c r="L107" i="3"/>
  <c r="L109" i="3"/>
  <c r="L110" i="3"/>
  <c r="L111" i="3"/>
  <c r="L113" i="3"/>
  <c r="L115" i="3"/>
  <c r="L117" i="3"/>
  <c r="L118" i="3"/>
  <c r="L119" i="3"/>
  <c r="L121" i="3"/>
  <c r="L123" i="3"/>
  <c r="L125" i="3"/>
  <c r="L126" i="3"/>
  <c r="L127" i="3"/>
  <c r="L2" i="3"/>
</calcChain>
</file>

<file path=xl/sharedStrings.xml><?xml version="1.0" encoding="utf-8"?>
<sst xmlns="http://schemas.openxmlformats.org/spreadsheetml/2006/main" count="2216" uniqueCount="277">
  <si>
    <t>Ticket_ID</t>
  </si>
  <si>
    <t>Customer_ID</t>
  </si>
  <si>
    <t>Issue_Type</t>
  </si>
  <si>
    <t>Priority</t>
  </si>
  <si>
    <t>Department</t>
  </si>
  <si>
    <t>Support_Agent</t>
  </si>
  <si>
    <t>Date_Open</t>
  </si>
  <si>
    <t>Date_Closed</t>
  </si>
  <si>
    <t>Resolution_Time_Hours</t>
  </si>
  <si>
    <t>Status</t>
  </si>
  <si>
    <t>T001</t>
  </si>
  <si>
    <t>C128</t>
  </si>
  <si>
    <t>Payment Issue</t>
  </si>
  <si>
    <t>medium</t>
  </si>
  <si>
    <t>Technical</t>
  </si>
  <si>
    <t>John</t>
  </si>
  <si>
    <t>09/03/2026</t>
  </si>
  <si>
    <t>2026-03-11</t>
  </si>
  <si>
    <t>resolved</t>
  </si>
  <si>
    <t>T002</t>
  </si>
  <si>
    <t>C110</t>
  </si>
  <si>
    <t>delay</t>
  </si>
  <si>
    <t>Medium</t>
  </si>
  <si>
    <t>Grace</t>
  </si>
  <si>
    <t>14/03/2026</t>
  </si>
  <si>
    <t>16-03-2026</t>
  </si>
  <si>
    <t>Resolved</t>
  </si>
  <si>
    <t>T003</t>
  </si>
  <si>
    <t>C121</t>
  </si>
  <si>
    <t>Account Locked</t>
  </si>
  <si>
    <t>High</t>
  </si>
  <si>
    <t>Billing</t>
  </si>
  <si>
    <t>05/03/2026</t>
  </si>
  <si>
    <t>06-03-2026</t>
  </si>
  <si>
    <t>T004</t>
  </si>
  <si>
    <t>C134</t>
  </si>
  <si>
    <t>low</t>
  </si>
  <si>
    <t>11/03/2026</t>
  </si>
  <si>
    <t>11-03-2026</t>
  </si>
  <si>
    <t>Open</t>
  </si>
  <si>
    <t>T005</t>
  </si>
  <si>
    <t>C138</t>
  </si>
  <si>
    <t>Service delay</t>
  </si>
  <si>
    <t>T006</t>
  </si>
  <si>
    <t>C113</t>
  </si>
  <si>
    <t>Refund Request</t>
  </si>
  <si>
    <t>critical</t>
  </si>
  <si>
    <t>04/03/2026</t>
  </si>
  <si>
    <t>04-03-2026</t>
  </si>
  <si>
    <t>T007</t>
  </si>
  <si>
    <t>Bug Report</t>
  </si>
  <si>
    <t>Customer Support</t>
  </si>
  <si>
    <t>02/03/2026</t>
  </si>
  <si>
    <t>03-03-2026</t>
  </si>
  <si>
    <t>T008</t>
  </si>
  <si>
    <t>C101</t>
  </si>
  <si>
    <t>David</t>
  </si>
  <si>
    <t>12/03/2026</t>
  </si>
  <si>
    <t>2026-03-14</t>
  </si>
  <si>
    <t>T009</t>
  </si>
  <si>
    <t>C124</t>
  </si>
  <si>
    <t>account locked</t>
  </si>
  <si>
    <t>Critical</t>
  </si>
  <si>
    <t>Fatima</t>
  </si>
  <si>
    <t>2026-03-07</t>
  </si>
  <si>
    <t>T010</t>
  </si>
  <si>
    <t>C112</t>
  </si>
  <si>
    <t>login problem</t>
  </si>
  <si>
    <t>Low</t>
  </si>
  <si>
    <t>Musa</t>
  </si>
  <si>
    <t>2026-03-05</t>
  </si>
  <si>
    <t>T011</t>
  </si>
  <si>
    <t>C131</t>
  </si>
  <si>
    <t>2026-03-16</t>
  </si>
  <si>
    <t>T012</t>
  </si>
  <si>
    <t>C117</t>
  </si>
  <si>
    <t>System Bug</t>
  </si>
  <si>
    <t>03/03/2026</t>
  </si>
  <si>
    <t>05-03-2026</t>
  </si>
  <si>
    <t>T013</t>
  </si>
  <si>
    <t>C136</t>
  </si>
  <si>
    <t>Refund request</t>
  </si>
  <si>
    <t>high</t>
  </si>
  <si>
    <t>07/03/2026</t>
  </si>
  <si>
    <t>2026-03-08</t>
  </si>
  <si>
    <t>T014</t>
  </si>
  <si>
    <t>C104</t>
  </si>
  <si>
    <t>2026-03-06</t>
  </si>
  <si>
    <t>T015</t>
  </si>
  <si>
    <t>C122</t>
  </si>
  <si>
    <t>2026-03-13</t>
  </si>
  <si>
    <t>13-03-2026</t>
  </si>
  <si>
    <t>Closed</t>
  </si>
  <si>
    <t>T016</t>
  </si>
  <si>
    <t>T017</t>
  </si>
  <si>
    <t>2026-03-02</t>
  </si>
  <si>
    <t>2026-03-04</t>
  </si>
  <si>
    <t>T018</t>
  </si>
  <si>
    <t>C125</t>
  </si>
  <si>
    <t>Billing Problem</t>
  </si>
  <si>
    <t>2026-03-10</t>
  </si>
  <si>
    <t>T019</t>
  </si>
  <si>
    <t>C132</t>
  </si>
  <si>
    <t>Login Problem</t>
  </si>
  <si>
    <t>10/03/2026</t>
  </si>
  <si>
    <t>12-03-2026</t>
  </si>
  <si>
    <t>T020</t>
  </si>
  <si>
    <t>C116</t>
  </si>
  <si>
    <t>bug</t>
  </si>
  <si>
    <t>T021</t>
  </si>
  <si>
    <t>C139</t>
  </si>
  <si>
    <t>06/03/2026</t>
  </si>
  <si>
    <t>T022</t>
  </si>
  <si>
    <t>C106</t>
  </si>
  <si>
    <t>payment issue</t>
  </si>
  <si>
    <t>T023</t>
  </si>
  <si>
    <t>C135</t>
  </si>
  <si>
    <t>Sarah</t>
  </si>
  <si>
    <t>07-03-2026</t>
  </si>
  <si>
    <t>T024</t>
  </si>
  <si>
    <t>C137</t>
  </si>
  <si>
    <t>14-03-2026</t>
  </si>
  <si>
    <t>T025</t>
  </si>
  <si>
    <t>refund</t>
  </si>
  <si>
    <t>T026</t>
  </si>
  <si>
    <t>Locked Account</t>
  </si>
  <si>
    <t>T027</t>
  </si>
  <si>
    <t>2026-03-15</t>
  </si>
  <si>
    <t>T028</t>
  </si>
  <si>
    <t>2026-03-01</t>
  </si>
  <si>
    <t>01-03-2026</t>
  </si>
  <si>
    <t>T029</t>
  </si>
  <si>
    <t>T030</t>
  </si>
  <si>
    <t>15/03/2026</t>
  </si>
  <si>
    <t>T031</t>
  </si>
  <si>
    <t>T032</t>
  </si>
  <si>
    <t>T033</t>
  </si>
  <si>
    <t>01/03/2026</t>
  </si>
  <si>
    <t>T034</t>
  </si>
  <si>
    <t>09-03-2026</t>
  </si>
  <si>
    <t>T035</t>
  </si>
  <si>
    <t>T036</t>
  </si>
  <si>
    <t>08/03/2026</t>
  </si>
  <si>
    <t>T037</t>
  </si>
  <si>
    <t>T038</t>
  </si>
  <si>
    <t>C100</t>
  </si>
  <si>
    <t>T039</t>
  </si>
  <si>
    <t>08-03-2026</t>
  </si>
  <si>
    <t>T040</t>
  </si>
  <si>
    <t>C105</t>
  </si>
  <si>
    <t>T041</t>
  </si>
  <si>
    <t>C140</t>
  </si>
  <si>
    <t>T042</t>
  </si>
  <si>
    <t>2026-03-03</t>
  </si>
  <si>
    <t>T043</t>
  </si>
  <si>
    <t>T044</t>
  </si>
  <si>
    <t>C108</t>
  </si>
  <si>
    <t>T045</t>
  </si>
  <si>
    <t>C126</t>
  </si>
  <si>
    <t>T046</t>
  </si>
  <si>
    <t>C102</t>
  </si>
  <si>
    <t>T047</t>
  </si>
  <si>
    <t>C111</t>
  </si>
  <si>
    <t>T048</t>
  </si>
  <si>
    <t>C114</t>
  </si>
  <si>
    <t>T049</t>
  </si>
  <si>
    <t>T050</t>
  </si>
  <si>
    <t>T051</t>
  </si>
  <si>
    <t>T052</t>
  </si>
  <si>
    <t>15-03-2026</t>
  </si>
  <si>
    <t>T053</t>
  </si>
  <si>
    <t>T054</t>
  </si>
  <si>
    <t>T055</t>
  </si>
  <si>
    <t>C115</t>
  </si>
  <si>
    <t>T056</t>
  </si>
  <si>
    <t>T057</t>
  </si>
  <si>
    <t>T058</t>
  </si>
  <si>
    <t>2026-03-09</t>
  </si>
  <si>
    <t>10-03-2026</t>
  </si>
  <si>
    <t>T059</t>
  </si>
  <si>
    <t>T060</t>
  </si>
  <si>
    <t>T061</t>
  </si>
  <si>
    <t>C118</t>
  </si>
  <si>
    <t>T062</t>
  </si>
  <si>
    <t>17-03-2026</t>
  </si>
  <si>
    <t>T063</t>
  </si>
  <si>
    <t>T064</t>
  </si>
  <si>
    <t>T065</t>
  </si>
  <si>
    <t>C103</t>
  </si>
  <si>
    <t>T066</t>
  </si>
  <si>
    <t>Service Delay</t>
  </si>
  <si>
    <t>T067</t>
  </si>
  <si>
    <t>T068</t>
  </si>
  <si>
    <t>T069</t>
  </si>
  <si>
    <t>2026-03-17</t>
  </si>
  <si>
    <t>T070</t>
  </si>
  <si>
    <t>T071</t>
  </si>
  <si>
    <t>T072</t>
  </si>
  <si>
    <t>T073</t>
  </si>
  <si>
    <t>T074</t>
  </si>
  <si>
    <t>13/03/2026</t>
  </si>
  <si>
    <t>T075</t>
  </si>
  <si>
    <t>C120</t>
  </si>
  <si>
    <t>T076</t>
  </si>
  <si>
    <t>T077</t>
  </si>
  <si>
    <t>T078</t>
  </si>
  <si>
    <t>C107</t>
  </si>
  <si>
    <t>T079</t>
  </si>
  <si>
    <t>T080</t>
  </si>
  <si>
    <t>T081</t>
  </si>
  <si>
    <t>T082</t>
  </si>
  <si>
    <t>T083</t>
  </si>
  <si>
    <t>C109</t>
  </si>
  <si>
    <t>T084</t>
  </si>
  <si>
    <t>T085</t>
  </si>
  <si>
    <t>2026-03-12</t>
  </si>
  <si>
    <t>T086</t>
  </si>
  <si>
    <t>T087</t>
  </si>
  <si>
    <t>T088</t>
  </si>
  <si>
    <t>T089</t>
  </si>
  <si>
    <t>C119</t>
  </si>
  <si>
    <t>T090</t>
  </si>
  <si>
    <t>T091</t>
  </si>
  <si>
    <t>02-03-2026</t>
  </si>
  <si>
    <t>T092</t>
  </si>
  <si>
    <t>T093</t>
  </si>
  <si>
    <t>T094</t>
  </si>
  <si>
    <t>T095</t>
  </si>
  <si>
    <t>T096</t>
  </si>
  <si>
    <t>C129</t>
  </si>
  <si>
    <t>T097</t>
  </si>
  <si>
    <t>T098</t>
  </si>
  <si>
    <t>T099</t>
  </si>
  <si>
    <t>C130</t>
  </si>
  <si>
    <t>T100</t>
  </si>
  <si>
    <t>T101</t>
  </si>
  <si>
    <t>T102</t>
  </si>
  <si>
    <t>T103</t>
  </si>
  <si>
    <t>T104</t>
  </si>
  <si>
    <t>T105</t>
  </si>
  <si>
    <t>T106</t>
  </si>
  <si>
    <t>T107</t>
  </si>
  <si>
    <t>Login issue</t>
  </si>
  <si>
    <t>T108</t>
  </si>
  <si>
    <t>T109</t>
  </si>
  <si>
    <t>T110</t>
  </si>
  <si>
    <t>T111</t>
  </si>
  <si>
    <t>T112</t>
  </si>
  <si>
    <t>T113</t>
  </si>
  <si>
    <t>C133</t>
  </si>
  <si>
    <t>T114</t>
  </si>
  <si>
    <t>T115</t>
  </si>
  <si>
    <t>T116</t>
  </si>
  <si>
    <t>T117</t>
  </si>
  <si>
    <t>T118</t>
  </si>
  <si>
    <t>T119</t>
  </si>
  <si>
    <t>T120</t>
  </si>
  <si>
    <t>T999</t>
  </si>
  <si>
    <t>C150</t>
  </si>
  <si>
    <t>T998</t>
  </si>
  <si>
    <t>C151</t>
  </si>
  <si>
    <t>Bug</t>
  </si>
  <si>
    <t>Unknown</t>
  </si>
  <si>
    <t>Count of Ticket_ID</t>
  </si>
  <si>
    <t>Sum of Resolution_Time_Hours</t>
  </si>
  <si>
    <t>Average of Resolution_Time_Hours</t>
  </si>
  <si>
    <t>Row Labels</t>
  </si>
  <si>
    <t>Grand Total</t>
  </si>
  <si>
    <t>Count of Customer_ID</t>
  </si>
  <si>
    <t>NUMBER OF CUSTOMERS</t>
  </si>
  <si>
    <t>Count of Issue_Type</t>
  </si>
  <si>
    <t>Count of Department</t>
  </si>
  <si>
    <t>NUMBER OF DEPARTMENT</t>
  </si>
  <si>
    <t>Unknown Issue</t>
  </si>
  <si>
    <t>Unspecified</t>
  </si>
  <si>
    <t xml:space="preserve">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</si>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</sst>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1">
    <xf numFmtId="0" fontId="0" fillId="0" borderId="0"/>
  </cellStyleXfs>
  <cellXfs count="17">
    <xf numFmtId="0" fontId="0" fillId="0" borderId="0" xfId="0"/>
    <xf numFmtId="0" fontId="0" fillId="0" borderId="1" xfId="0" applyBorder="1"/>
    <xf numFmtId="14" fontId="0" fillId="0" borderId="1" xfId="0" applyNumberFormat="1" applyBorder="1"/>
    <xf numFmtId="0" fontId="0" fillId="0" borderId="2" xfId="0" applyBorder="1"/>
    <xf numFmtId="0" fontId="0" fillId="0" borderId="3" xfId="0" applyBorder="1"/>
    <xf numFmtId="0" fontId="0" fillId="0" borderId="4" xfId="0" applyBorder="1" applyAlignment="1">
      <alignment horizontal="center" vertical="top"/>
    </xf>
    <xf numFmtId="0" fontId="0" fillId="0" borderId="5" xfId="0" applyBorder="1" applyAlignment="1">
      <alignment horizontal="center" vertical="top"/>
    </xf>
    <xf numFmtId="0" fontId="0" fillId="0" borderId="6" xfId="0" applyBorder="1" applyAlignment="1">
      <alignment horizontal="center" vertical="top"/>
    </xf>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pivotButton="1" applyBorder="1"/>
    <xf numFmtId="0" fontId="0" fillId="0" borderId="1" xfId="0" applyBorder="1" applyAlignment="1">
      <alignment horizontal="left"/>
    </xf>
    <xf numFmtId="0" fontId="1" fillId="0" borderId="0" xfId="0" applyFont="1"/>
    <xf numFmtId="0" fontId="0" fillId="0" borderId="2" xfId="0" pivotButton="1" applyBorder="1"/>
    <xf numFmtId="0" fontId="0" fillId="0" borderId="2" xfId="0" applyBorder="1" applyAlignment="1">
      <alignment horizontal="left"/>
    </xf>
  </cellXfs>
  <cellStyles count="1">
    <cellStyle name="Normal" xfId="0" builtinId="0"/>
  </cellStyles>
  <dxfs count="55">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alignment horizontal="center" vertical="top" textRotation="0" wrapText="0" indent="0" justifyLastLine="0" shrinkToFit="0" readingOrder="0"/>
      <border diagonalUp="0" diagonalDown="0" outline="0">
        <left style="thin">
          <color indexed="64"/>
        </left>
        <right style="thin">
          <color indexed="64"/>
        </right>
        <top/>
        <bottom/>
      </border>
    </dxf>
    <dxf>
      <font>
        <b/>
        <color theme="1"/>
      </font>
      <fill>
        <patternFill patternType="solid">
          <bgColor theme="3" tint="0.59996337778862885"/>
        </patternFill>
      </fill>
      <border diagonalUp="0" diagonalDown="0">
        <left/>
        <right/>
        <top/>
        <bottom/>
        <vertical/>
        <horizontal/>
      </border>
    </dxf>
    <dxf>
      <font>
        <color theme="1"/>
      </font>
      <fill>
        <patternFill patternType="solid">
          <bgColor theme="0" tint="-0.14996795556505021"/>
        </patternFill>
      </fill>
      <border diagonalUp="0" diagonalDown="0">
        <left/>
        <right/>
        <top/>
        <bottom/>
        <vertical/>
        <horizontal/>
      </border>
    </dxf>
    <dxf>
      <font>
        <b/>
        <color theme="1"/>
      </font>
      <border diagonalUp="0" diagonalDown="0">
        <left/>
        <right/>
        <top/>
        <bottom/>
        <vertical/>
        <horizontal/>
      </border>
    </dxf>
    <dxf>
      <font>
        <color theme="1"/>
      </font>
      <fill>
        <patternFill>
          <bgColor theme="3" tint="0.59996337778862885"/>
        </patternFill>
      </fill>
      <border diagonalUp="0" diagonalDown="0">
        <left/>
        <right/>
        <top/>
        <bottom/>
        <vertical/>
        <horizontal/>
      </border>
    </dxf>
  </dxfs>
  <tableStyles count="2" defaultTableStyle="TableStyleMedium2" defaultPivotStyle="PivotStyleLight16">
    <tableStyle name="SlicerStyleLight1 2" pivot="0" table="0" count="10" xr9:uid="{18179BC6-D202-42D3-BCD7-E5327CFB5358}">
      <tableStyleElement type="wholeTable" dxfId="54"/>
      <tableStyleElement type="headerRow" dxfId="53"/>
    </tableStyle>
    <tableStyle name="SlicerStyleOther2 2" pivot="0" table="0" count="10" xr9:uid="{601E19A7-72D3-482C-93A3-35311BD6D555}">
      <tableStyleElement type="wholeTable" dxfId="52"/>
      <tableStyleElement type="headerRow" dxfId="51"/>
    </tableStyle>
  </tableStyles>
  <extLst>
    <ext xmlns:x14="http://schemas.microsoft.com/office/spreadsheetml/2009/9/main" uri="{46F421CA-312F-682f-3DD2-61675219B42D}">
      <x14:dxfs count="16">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patternFill patternType="none">
              <fgColor auto="1"/>
              <bgColor auto="1"/>
            </patternFill>
          </fill>
          <border diagonalUp="0" diagonalDown="0">
            <left/>
            <right/>
            <top/>
            <bottom/>
            <vertical/>
            <horizontal/>
          </border>
        </dxf>
        <dxf>
          <font>
            <color rgb="FF000000"/>
          </font>
          <fill>
            <patternFill patternType="solid">
              <fgColor auto="1"/>
              <bgColor theme="3" tint="0.59996337778862885"/>
            </patternFill>
          </fill>
          <border diagonalUp="0" diagonalDown="0">
            <left/>
            <right/>
            <top/>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000000"/>
          </font>
          <fill>
            <gradientFill degree="90">
              <stop position="0">
                <color rgb="FFF8E162"/>
              </stop>
              <stop position="1">
                <color rgb="FFFCF7E0"/>
              </stop>
            </gradientFill>
          </fill>
          <border diagonalUp="0" diagonalDown="0">
            <left/>
            <right/>
            <top/>
            <bottom/>
            <vertical/>
            <horizontal/>
          </border>
        </dxf>
        <dxf>
          <font>
            <color rgb="FF828282"/>
          </font>
          <fill>
            <patternFill patternType="solid">
              <fgColor theme="4" tint="0.79998168889431442"/>
              <bgColor theme="4" tint="0.79998168889431442"/>
            </patternFill>
          </fill>
          <border diagonalUp="0" diagonalDown="0">
            <left/>
            <right/>
            <top/>
            <bottom/>
            <vertical/>
            <horizontal/>
          </border>
        </dxf>
        <dxf>
          <font>
            <color rgb="FF000000"/>
          </font>
          <fill>
            <patternFill patternType="solid">
              <fgColor theme="4" tint="0.59999389629810485"/>
              <bgColor theme="4" tint="0.59999389629810485"/>
            </patternFill>
          </fill>
          <border diagonalUp="0" diagonalDown="0">
            <left/>
            <right/>
            <top/>
            <bottom/>
            <vertical/>
            <horizontal/>
          </border>
        </dxf>
        <dxf>
          <font>
            <color rgb="FF828282"/>
          </font>
          <fill>
            <patternFill patternType="solid">
              <fgColor rgb="FFFFFFFF"/>
              <bgColor rgb="FFFFFFFF"/>
            </patternFill>
          </fill>
          <border diagonalUp="0" diagonalDown="0">
            <left/>
            <right/>
            <top/>
            <bottom/>
            <vertical/>
            <horizontal/>
          </border>
        </dxf>
        <dxf>
          <font>
            <color rgb="FF000000"/>
          </font>
          <fill>
            <patternFill patternType="solid">
              <fgColor rgb="FFFFFFFF"/>
              <bgColor rgb="FFFFFFFF"/>
            </patternFill>
          </fill>
          <border diagonalUp="0" diagonalDown="0">
            <left/>
            <right/>
            <top/>
            <bottom/>
            <vertical/>
            <horizontal/>
          </border>
        </dxf>
      </x14:dxfs>
    </ext>
    <ext xmlns:x14="http://schemas.microsoft.com/office/spreadsheetml/2009/9/main" uri="{EB79DEF2-80B8-43e5-95BD-54CBDDF9020C}">
      <x14:slicerStyles defaultSlicerStyle="SlicerStyleLight1 2">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Project.xlsx]Analysis!PivotTable4</c:name>
    <c:fmtId val="2"/>
  </c:pivotSource>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solidFill>
                  <a:sysClr val="windowText" lastClr="000000"/>
                </a:solidFill>
              </a:rPr>
              <a:t>Tickets by Department</a:t>
            </a:r>
          </a:p>
        </c:rich>
      </c:tx>
      <c:layout>
        <c:manualLayout>
          <c:xMode val="edge"/>
          <c:yMode val="edge"/>
          <c:x val="0.2021214217381706"/>
          <c:y val="0"/>
        </c:manualLayout>
      </c:layout>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tx2">
              <a:lumMod val="40000"/>
              <a:lumOff val="60000"/>
            </a:schemeClr>
          </a:solidFill>
          <a:ln w="19050">
            <a:solidFill>
              <a:schemeClr val="lt1"/>
            </a:solidFill>
          </a:ln>
          <a:effectLst/>
        </c:spPr>
      </c:pivotFmt>
      <c:pivotFmt>
        <c:idx val="8"/>
        <c:spPr>
          <a:solidFill>
            <a:schemeClr val="tx2"/>
          </a:solidFill>
          <a:ln w="19050">
            <a:solidFill>
              <a:schemeClr val="lt1"/>
            </a:solidFill>
          </a:ln>
          <a:effectLst/>
        </c:spPr>
      </c:pivotFmt>
    </c:pivotFmts>
    <c:plotArea>
      <c:layout>
        <c:manualLayout>
          <c:layoutTarget val="inner"/>
          <c:xMode val="edge"/>
          <c:yMode val="edge"/>
          <c:x val="0.19941570387813673"/>
          <c:y val="0.18581684985413283"/>
          <c:w val="0.3544399146368386"/>
          <c:h val="0.76599099987404407"/>
        </c:manualLayout>
      </c:layout>
      <c:doughnutChart>
        <c:varyColors val="1"/>
        <c:ser>
          <c:idx val="0"/>
          <c:order val="0"/>
          <c:tx>
            <c:strRef>
              <c:f>Analysis!$D$5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5B4-4717-A3AE-80A664E8CC4A}"/>
              </c:ext>
            </c:extLst>
          </c:dPt>
          <c:dPt>
            <c:idx val="1"/>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3-85B4-4717-A3AE-80A664E8CC4A}"/>
              </c:ext>
            </c:extLst>
          </c:dPt>
          <c:dPt>
            <c:idx val="2"/>
            <c:bubble3D val="0"/>
            <c:spPr>
              <a:solidFill>
                <a:schemeClr val="tx2"/>
              </a:solidFill>
              <a:ln w="19050">
                <a:solidFill>
                  <a:schemeClr val="lt1"/>
                </a:solidFill>
              </a:ln>
              <a:effectLst/>
            </c:spPr>
            <c:extLst>
              <c:ext xmlns:c16="http://schemas.microsoft.com/office/drawing/2014/chart" uri="{C3380CC4-5D6E-409C-BE32-E72D297353CC}">
                <c16:uniqueId val="{00000005-85B4-4717-A3AE-80A664E8CC4A}"/>
              </c:ext>
            </c:extLst>
          </c:dPt>
          <c:cat>
            <c:strRef>
              <c:f>Analysis!$C$6:$C$9</c:f>
              <c:strCache>
                <c:ptCount val="3"/>
                <c:pt idx="0">
                  <c:v>Billing</c:v>
                </c:pt>
                <c:pt idx="1">
                  <c:v>Customer Support</c:v>
                </c:pt>
                <c:pt idx="2">
                  <c:v>Technical</c:v>
                </c:pt>
              </c:strCache>
            </c:strRef>
          </c:cat>
          <c:val>
            <c:numRef>
              <c:f>Analysis!$D$6:$D$9</c:f>
              <c:numCache>
                <c:formatCode>General</c:formatCode>
                <c:ptCount val="3"/>
                <c:pt idx="0">
                  <c:v>46</c:v>
                </c:pt>
                <c:pt idx="1">
                  <c:v>39</c:v>
                </c:pt>
                <c:pt idx="2">
                  <c:v>37</c:v>
                </c:pt>
              </c:numCache>
            </c:numRef>
          </c:val>
          <c:extLst>
            <c:ext xmlns:c16="http://schemas.microsoft.com/office/drawing/2014/chart" uri="{C3380CC4-5D6E-409C-BE32-E72D297353CC}">
              <c16:uniqueId val="{00000006-85B4-4717-A3AE-80A664E8CC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2610552652881004"/>
          <c:y val="0.26354630917226579"/>
          <c:w val="0.1860440061814703"/>
          <c:h val="0.6756086917246934"/>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Project.xlsx]Analysis!PivotTable5</c:name>
    <c:fmtId val="2"/>
  </c:pivotSource>
  <c:chart>
    <c:title>
      <c:tx>
        <c:rich>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r>
              <a:rPr lang="en-US" sz="900">
                <a:solidFill>
                  <a:sysClr val="windowText" lastClr="000000"/>
                </a:solidFill>
              </a:rPr>
              <a:t>Ticket Volume by Support</a:t>
            </a:r>
            <a:r>
              <a:rPr lang="en-US" sz="900" baseline="0">
                <a:solidFill>
                  <a:sysClr val="windowText" lastClr="000000"/>
                </a:solidFill>
              </a:rPr>
              <a:t> Agent</a:t>
            </a:r>
            <a:endParaRPr lang="en-US" sz="900">
              <a:solidFill>
                <a:sysClr val="windowText" lastClr="000000"/>
              </a:solidFill>
            </a:endParaRPr>
          </a:p>
        </c:rich>
      </c:tx>
      <c:layout>
        <c:manualLayout>
          <c:xMode val="edge"/>
          <c:yMode val="edge"/>
          <c:x val="1.7392347440944894E-2"/>
          <c:y val="7.0560573196316182E-3"/>
        </c:manualLayout>
      </c:layout>
      <c:overlay val="0"/>
      <c:spPr>
        <a:noFill/>
        <a:ln>
          <a:no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75879675196849"/>
          <c:y val="9.2363790313977887E-2"/>
          <c:w val="0.83252245324803165"/>
          <c:h val="0.78768323525228456"/>
        </c:manualLayout>
      </c:layout>
      <c:barChart>
        <c:barDir val="bar"/>
        <c:grouping val="clustered"/>
        <c:varyColors val="0"/>
        <c:ser>
          <c:idx val="0"/>
          <c:order val="0"/>
          <c:tx>
            <c:strRef>
              <c:f>Analysis!$D$12</c:f>
              <c:strCache>
                <c:ptCount val="1"/>
                <c:pt idx="0">
                  <c:v>Total</c:v>
                </c:pt>
              </c:strCache>
            </c:strRef>
          </c:tx>
          <c:spPr>
            <a:solidFill>
              <a:schemeClr val="accent1"/>
            </a:solidFill>
            <a:ln>
              <a:noFill/>
            </a:ln>
            <a:effectLst/>
          </c:spPr>
          <c:invertIfNegative val="0"/>
          <c:cat>
            <c:strRef>
              <c:f>Analysis!$C$13:$C$19</c:f>
              <c:strCache>
                <c:ptCount val="6"/>
                <c:pt idx="0">
                  <c:v>David</c:v>
                </c:pt>
                <c:pt idx="1">
                  <c:v>Fatima</c:v>
                </c:pt>
                <c:pt idx="2">
                  <c:v>Grace</c:v>
                </c:pt>
                <c:pt idx="3">
                  <c:v>John</c:v>
                </c:pt>
                <c:pt idx="4">
                  <c:v>Musa</c:v>
                </c:pt>
                <c:pt idx="5">
                  <c:v>Sarah</c:v>
                </c:pt>
              </c:strCache>
            </c:strRef>
          </c:cat>
          <c:val>
            <c:numRef>
              <c:f>Analysis!$D$13:$D$19</c:f>
              <c:numCache>
                <c:formatCode>General</c:formatCode>
                <c:ptCount val="6"/>
                <c:pt idx="0">
                  <c:v>24</c:v>
                </c:pt>
                <c:pt idx="1">
                  <c:v>17</c:v>
                </c:pt>
                <c:pt idx="2">
                  <c:v>22</c:v>
                </c:pt>
                <c:pt idx="3">
                  <c:v>25</c:v>
                </c:pt>
                <c:pt idx="4">
                  <c:v>16</c:v>
                </c:pt>
                <c:pt idx="5">
                  <c:v>18</c:v>
                </c:pt>
              </c:numCache>
            </c:numRef>
          </c:val>
          <c:extLst>
            <c:ext xmlns:c16="http://schemas.microsoft.com/office/drawing/2014/chart" uri="{C3380CC4-5D6E-409C-BE32-E72D297353CC}">
              <c16:uniqueId val="{00000000-3CC4-4E99-9301-FEBB54A6E9B7}"/>
            </c:ext>
          </c:extLst>
        </c:ser>
        <c:dLbls>
          <c:showLegendKey val="0"/>
          <c:showVal val="0"/>
          <c:showCatName val="0"/>
          <c:showSerName val="0"/>
          <c:showPercent val="0"/>
          <c:showBubbleSize val="0"/>
        </c:dLbls>
        <c:gapWidth val="182"/>
        <c:axId val="1539256176"/>
        <c:axId val="1539256656"/>
      </c:barChart>
      <c:catAx>
        <c:axId val="15392561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NG"/>
          </a:p>
        </c:txPr>
        <c:crossAx val="1539256656"/>
        <c:crosses val="autoZero"/>
        <c:auto val="1"/>
        <c:lblAlgn val="ctr"/>
        <c:lblOffset val="100"/>
        <c:noMultiLvlLbl val="0"/>
      </c:catAx>
      <c:valAx>
        <c:axId val="1539256656"/>
        <c:scaling>
          <c:orientation val="minMax"/>
        </c:scaling>
        <c:delete val="1"/>
        <c:axPos val="b"/>
        <c:numFmt formatCode="General" sourceLinked="1"/>
        <c:majorTickMark val="none"/>
        <c:minorTickMark val="none"/>
        <c:tickLblPos val="nextTo"/>
        <c:crossAx val="153925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Project.xlsx]Analysis!PivotTable7</c:name>
    <c:fmtId val="2"/>
  </c:pivotSource>
  <c:chart>
    <c:title>
      <c:tx>
        <c:rich>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r>
              <a:rPr lang="en-US" sz="900">
                <a:solidFill>
                  <a:schemeClr val="tx1"/>
                </a:solidFill>
              </a:rPr>
              <a:t>Ticket Distribution</a:t>
            </a:r>
            <a:r>
              <a:rPr lang="en-US" sz="900" baseline="0">
                <a:solidFill>
                  <a:schemeClr val="tx1"/>
                </a:solidFill>
              </a:rPr>
              <a:t> by Priority Level</a:t>
            </a:r>
            <a:endParaRPr lang="en-US" sz="900">
              <a:solidFill>
                <a:schemeClr val="tx1"/>
              </a:solidFill>
            </a:endParaRPr>
          </a:p>
        </c:rich>
      </c:tx>
      <c:layout>
        <c:manualLayout>
          <c:xMode val="edge"/>
          <c:yMode val="edge"/>
          <c:x val="0.16563245823389022"/>
          <c:y val="9.4890510948905105E-2"/>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w="19050">
            <a:solidFill>
              <a:schemeClr val="lt1"/>
            </a:solidFill>
          </a:ln>
          <a:effectLst/>
        </c:spPr>
      </c:pivotFmt>
      <c:pivotFmt>
        <c:idx val="8"/>
        <c:spPr>
          <a:solidFill>
            <a:schemeClr val="tx2">
              <a:lumMod val="60000"/>
              <a:lumOff val="40000"/>
            </a:schemeClr>
          </a:solidFill>
          <a:ln w="19050">
            <a:solidFill>
              <a:schemeClr val="lt1"/>
            </a:solidFill>
          </a:ln>
          <a:effectLst/>
        </c:spPr>
      </c:pivotFmt>
      <c:pivotFmt>
        <c:idx val="9"/>
        <c:spPr>
          <a:solidFill>
            <a:schemeClr val="tx2">
              <a:lumMod val="40000"/>
              <a:lumOff val="60000"/>
            </a:schemeClr>
          </a:solidFill>
          <a:ln w="19050">
            <a:solidFill>
              <a:schemeClr val="lt1"/>
            </a:solidFill>
          </a:ln>
          <a:effectLst/>
        </c:spPr>
      </c:pivotFmt>
      <c:pivotFmt>
        <c:idx val="10"/>
        <c:spPr>
          <a:solidFill>
            <a:schemeClr val="tx2">
              <a:lumMod val="50000"/>
            </a:schemeClr>
          </a:solidFill>
          <a:ln w="19050">
            <a:solidFill>
              <a:schemeClr val="lt1"/>
            </a:solidFill>
          </a:ln>
          <a:effectLst/>
        </c:spPr>
      </c:pivotFmt>
    </c:pivotFmts>
    <c:plotArea>
      <c:layout>
        <c:manualLayout>
          <c:layoutTarget val="inner"/>
          <c:xMode val="edge"/>
          <c:yMode val="edge"/>
          <c:x val="0.28470035517636666"/>
          <c:y val="0.19843209379849416"/>
          <c:w val="0.47352601807828915"/>
          <c:h val="0.72411460428760277"/>
        </c:manualLayout>
      </c:layout>
      <c:pieChart>
        <c:varyColors val="1"/>
        <c:ser>
          <c:idx val="0"/>
          <c:order val="0"/>
          <c:tx>
            <c:strRef>
              <c:f>Analysis!$B$21</c:f>
              <c:strCache>
                <c:ptCount val="1"/>
                <c:pt idx="0">
                  <c:v>Total</c:v>
                </c:pt>
              </c:strCache>
            </c:strRef>
          </c:tx>
          <c:dPt>
            <c:idx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D75C-4D58-A12F-88ED6D660C38}"/>
              </c:ext>
            </c:extLst>
          </c:dPt>
          <c:dPt>
            <c:idx val="1"/>
            <c:bubble3D val="0"/>
            <c:spPr>
              <a:solidFill>
                <a:schemeClr val="tx2">
                  <a:lumMod val="60000"/>
                  <a:lumOff val="40000"/>
                </a:schemeClr>
              </a:solidFill>
              <a:ln w="19050">
                <a:solidFill>
                  <a:schemeClr val="lt1"/>
                </a:solidFill>
              </a:ln>
              <a:effectLst/>
            </c:spPr>
            <c:extLst>
              <c:ext xmlns:c16="http://schemas.microsoft.com/office/drawing/2014/chart" uri="{C3380CC4-5D6E-409C-BE32-E72D297353CC}">
                <c16:uniqueId val="{00000003-D75C-4D58-A12F-88ED6D660C38}"/>
              </c:ext>
            </c:extLst>
          </c:dPt>
          <c:dPt>
            <c:idx val="2"/>
            <c:bubble3D val="0"/>
            <c:spPr>
              <a:solidFill>
                <a:schemeClr val="tx2">
                  <a:lumMod val="40000"/>
                  <a:lumOff val="60000"/>
                </a:schemeClr>
              </a:solidFill>
              <a:ln w="19050">
                <a:solidFill>
                  <a:schemeClr val="lt1"/>
                </a:solidFill>
              </a:ln>
              <a:effectLst/>
            </c:spPr>
            <c:extLst>
              <c:ext xmlns:c16="http://schemas.microsoft.com/office/drawing/2014/chart" uri="{C3380CC4-5D6E-409C-BE32-E72D297353CC}">
                <c16:uniqueId val="{00000005-D75C-4D58-A12F-88ED6D660C38}"/>
              </c:ext>
            </c:extLst>
          </c:dPt>
          <c:dPt>
            <c:idx val="3"/>
            <c:bubble3D val="0"/>
            <c:spPr>
              <a:solidFill>
                <a:schemeClr val="tx2">
                  <a:lumMod val="50000"/>
                </a:schemeClr>
              </a:solidFill>
              <a:ln w="19050">
                <a:solidFill>
                  <a:schemeClr val="lt1"/>
                </a:solidFill>
              </a:ln>
              <a:effectLst/>
            </c:spPr>
            <c:extLst>
              <c:ext xmlns:c16="http://schemas.microsoft.com/office/drawing/2014/chart" uri="{C3380CC4-5D6E-409C-BE32-E72D297353CC}">
                <c16:uniqueId val="{00000007-D75C-4D58-A12F-88ED6D660C38}"/>
              </c:ext>
            </c:extLst>
          </c:dPt>
          <c:cat>
            <c:strRef>
              <c:f>Analysis!$A$22:$A$26</c:f>
              <c:strCache>
                <c:ptCount val="4"/>
                <c:pt idx="0">
                  <c:v>Critical</c:v>
                </c:pt>
                <c:pt idx="1">
                  <c:v>High</c:v>
                </c:pt>
                <c:pt idx="2">
                  <c:v>Low</c:v>
                </c:pt>
                <c:pt idx="3">
                  <c:v>Medium</c:v>
                </c:pt>
              </c:strCache>
            </c:strRef>
          </c:cat>
          <c:val>
            <c:numRef>
              <c:f>Analysis!$B$22:$B$26</c:f>
              <c:numCache>
                <c:formatCode>General</c:formatCode>
                <c:ptCount val="4"/>
                <c:pt idx="0">
                  <c:v>24</c:v>
                </c:pt>
                <c:pt idx="1">
                  <c:v>32</c:v>
                </c:pt>
                <c:pt idx="2">
                  <c:v>33</c:v>
                </c:pt>
                <c:pt idx="3">
                  <c:v>32</c:v>
                </c:pt>
              </c:numCache>
            </c:numRef>
          </c:val>
          <c:extLst>
            <c:ext xmlns:c16="http://schemas.microsoft.com/office/drawing/2014/chart" uri="{C3380CC4-5D6E-409C-BE32-E72D297353CC}">
              <c16:uniqueId val="{00000008-D75C-4D58-A12F-88ED6D660C38}"/>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7591528385920735"/>
          <c:y val="0.9075377895281338"/>
          <c:w val="0.64816905643357825"/>
          <c:h val="9.2462210471866216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Project.xlsx]Analysis!PivotTable9</c:name>
    <c:fmtId val="3"/>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sz="800">
                <a:solidFill>
                  <a:sysClr val="windowText" lastClr="000000"/>
                </a:solidFill>
              </a:rPr>
              <a:t>Ticket Distribution</a:t>
            </a:r>
            <a:r>
              <a:rPr lang="en-US" sz="800" baseline="0">
                <a:solidFill>
                  <a:sysClr val="windowText" lastClr="000000"/>
                </a:solidFill>
              </a:rPr>
              <a:t> by Issue Type</a:t>
            </a:r>
            <a:endParaRPr lang="en-US" sz="800">
              <a:solidFill>
                <a:sysClr val="windowText" lastClr="000000"/>
              </a:solidFill>
            </a:endParaRPr>
          </a:p>
        </c:rich>
      </c:tx>
      <c:layout>
        <c:manualLayout>
          <c:xMode val="edge"/>
          <c:yMode val="edge"/>
          <c:x val="5.2256447628019394E-3"/>
          <c:y val="9.2710383858267721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775043733685404E-2"/>
          <c:y val="0"/>
          <c:w val="0.96322495626631455"/>
          <c:h val="0.78334629333159078"/>
        </c:manualLayout>
      </c:layout>
      <c:barChart>
        <c:barDir val="col"/>
        <c:grouping val="clustered"/>
        <c:varyColors val="0"/>
        <c:ser>
          <c:idx val="0"/>
          <c:order val="0"/>
          <c:tx>
            <c:strRef>
              <c:f>Analysis!$E$22</c:f>
              <c:strCache>
                <c:ptCount val="1"/>
                <c:pt idx="0">
                  <c:v>Total</c:v>
                </c:pt>
              </c:strCache>
            </c:strRef>
          </c:tx>
          <c:spPr>
            <a:solidFill>
              <a:schemeClr val="accent1"/>
            </a:solidFill>
            <a:ln>
              <a:noFill/>
            </a:ln>
            <a:effectLst/>
          </c:spPr>
          <c:invertIfNegative val="0"/>
          <c:cat>
            <c:strRef>
              <c:f>Analysis!$D$23:$D$30</c:f>
              <c:strCache>
                <c:ptCount val="7"/>
                <c:pt idx="0">
                  <c:v>Billing Problem</c:v>
                </c:pt>
                <c:pt idx="1">
                  <c:v>Bug Report</c:v>
                </c:pt>
                <c:pt idx="2">
                  <c:v>Locked Account</c:v>
                </c:pt>
                <c:pt idx="3">
                  <c:v>Login Problem</c:v>
                </c:pt>
                <c:pt idx="4">
                  <c:v>Payment Issue</c:v>
                </c:pt>
                <c:pt idx="5">
                  <c:v>Refund Request</c:v>
                </c:pt>
                <c:pt idx="6">
                  <c:v>Service Delay</c:v>
                </c:pt>
              </c:strCache>
            </c:strRef>
          </c:cat>
          <c:val>
            <c:numRef>
              <c:f>Analysis!$E$23:$E$30</c:f>
              <c:numCache>
                <c:formatCode>General</c:formatCode>
                <c:ptCount val="7"/>
                <c:pt idx="0">
                  <c:v>3</c:v>
                </c:pt>
                <c:pt idx="1">
                  <c:v>34</c:v>
                </c:pt>
                <c:pt idx="2">
                  <c:v>23</c:v>
                </c:pt>
                <c:pt idx="3">
                  <c:v>11</c:v>
                </c:pt>
                <c:pt idx="4">
                  <c:v>12</c:v>
                </c:pt>
                <c:pt idx="5">
                  <c:v>14</c:v>
                </c:pt>
                <c:pt idx="6">
                  <c:v>24</c:v>
                </c:pt>
              </c:numCache>
            </c:numRef>
          </c:val>
          <c:extLst>
            <c:ext xmlns:c16="http://schemas.microsoft.com/office/drawing/2014/chart" uri="{C3380CC4-5D6E-409C-BE32-E72D297353CC}">
              <c16:uniqueId val="{00000000-0AA2-437B-9558-DB8A53FAF688}"/>
            </c:ext>
          </c:extLst>
        </c:ser>
        <c:dLbls>
          <c:showLegendKey val="0"/>
          <c:showVal val="0"/>
          <c:showCatName val="0"/>
          <c:showSerName val="0"/>
          <c:showPercent val="0"/>
          <c:showBubbleSize val="0"/>
        </c:dLbls>
        <c:gapWidth val="219"/>
        <c:overlap val="-27"/>
        <c:axId val="1544232416"/>
        <c:axId val="1544232896"/>
      </c:barChart>
      <c:catAx>
        <c:axId val="154423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mn-lt"/>
                <a:ea typeface="+mn-ea"/>
                <a:cs typeface="+mn-cs"/>
              </a:defRPr>
            </a:pPr>
            <a:endParaRPr lang="en-NG"/>
          </a:p>
        </c:txPr>
        <c:crossAx val="1544232896"/>
        <c:crosses val="autoZero"/>
        <c:auto val="1"/>
        <c:lblAlgn val="ctr"/>
        <c:lblOffset val="100"/>
        <c:noMultiLvlLbl val="0"/>
      </c:catAx>
      <c:valAx>
        <c:axId val="1544232896"/>
        <c:scaling>
          <c:orientation val="minMax"/>
        </c:scaling>
        <c:delete val="1"/>
        <c:axPos val="l"/>
        <c:numFmt formatCode="General" sourceLinked="1"/>
        <c:majorTickMark val="none"/>
        <c:minorTickMark val="none"/>
        <c:tickLblPos val="nextTo"/>
        <c:crossAx val="154423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[Week 3 Project.xlsx]Analysis!PivotTable10</c:name>
    <c:fmtId val="9"/>
  </c:pivotSource>
  <c:chart>
    <c:title>
      <c:tx>
        <c:rich>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r>
              <a:rPr lang="en-US" sz="900">
                <a:solidFill>
                  <a:schemeClr val="tx1"/>
                </a:solidFill>
              </a:rPr>
              <a:t>Resolution Time by Priority</a:t>
            </a:r>
            <a:r>
              <a:rPr lang="en-US" sz="900" baseline="0">
                <a:solidFill>
                  <a:schemeClr val="tx1"/>
                </a:solidFill>
              </a:rPr>
              <a:t> Level</a:t>
            </a:r>
            <a:endParaRPr lang="en-US" sz="900">
              <a:solidFill>
                <a:schemeClr val="tx1"/>
              </a:solidFill>
            </a:endParaRPr>
          </a:p>
        </c:rich>
      </c:tx>
      <c:layout>
        <c:manualLayout>
          <c:xMode val="edge"/>
          <c:yMode val="edge"/>
          <c:x val="1.9640851515890199E-3"/>
          <c:y val="0"/>
        </c:manualLayout>
      </c:layout>
      <c:overlay val="0"/>
      <c:spPr>
        <a:noFill/>
        <a:ln>
          <a:noFill/>
        </a:ln>
        <a:effectLst/>
      </c:spPr>
      <c:txPr>
        <a:bodyPr rot="0" spcFirstLastPara="1" vertOverflow="ellipsis" vert="horz" wrap="square" anchor="ctr" anchorCtr="1"/>
        <a:lstStyle/>
        <a:p>
          <a:pPr>
            <a:defRPr sz="9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pivotFmt>
      <c:pivotFmt>
        <c:idx val="3"/>
        <c:spPr>
          <a:solidFill>
            <a:schemeClr val="accent1"/>
          </a:solidFill>
          <a:ln>
            <a:noFill/>
          </a:ln>
          <a:effectLst/>
          <a:sp3d/>
        </c:spPr>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pivotFmt>
      <c:pivotFmt>
        <c:idx val="9"/>
        <c:spPr>
          <a:solidFill>
            <a:schemeClr val="tx2">
              <a:lumMod val="20000"/>
              <a:lumOff val="80000"/>
            </a:schemeClr>
          </a:solidFill>
          <a:ln>
            <a:noFill/>
          </a:ln>
          <a:effectLst/>
          <a:sp3d/>
        </c:spPr>
      </c:pivotFmt>
      <c:pivotFmt>
        <c:idx val="10"/>
        <c:spPr>
          <a:solidFill>
            <a:schemeClr val="tx2">
              <a:lumMod val="40000"/>
              <a:lumOff val="60000"/>
            </a:schemeClr>
          </a:solidFill>
          <a:ln>
            <a:noFill/>
          </a:ln>
          <a:effectLst/>
          <a:sp3d/>
        </c:spPr>
      </c:pivotFmt>
      <c:pivotFmt>
        <c:idx val="11"/>
        <c:spPr>
          <a:solidFill>
            <a:schemeClr val="tx2">
              <a:lumMod val="75000"/>
            </a:schemeClr>
          </a:solidFill>
          <a:ln>
            <a:noFill/>
          </a:ln>
          <a:effectLst/>
          <a:sp3d/>
        </c:spPr>
      </c:pivotFmt>
      <c:pivotFmt>
        <c:idx val="12"/>
        <c:spPr>
          <a:solidFill>
            <a:schemeClr val="accent1"/>
          </a:solidFill>
          <a:ln>
            <a:noFill/>
          </a:ln>
          <a:effectLst/>
          <a:sp3d/>
        </c:spPr>
      </c:pivotFmt>
    </c:pivotFmts>
    <c:view3D>
      <c:rotX val="15"/>
      <c:rotY val="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48164145470454306"/>
          <c:w val="0.91419146373978644"/>
          <c:h val="0.42794754738325852"/>
        </c:manualLayout>
      </c:layout>
      <c:pie3DChart>
        <c:varyColors val="1"/>
        <c:ser>
          <c:idx val="0"/>
          <c:order val="0"/>
          <c:tx>
            <c:strRef>
              <c:f>Analysis!$H$24</c:f>
              <c:strCache>
                <c:ptCount val="1"/>
                <c:pt idx="0">
                  <c:v>Total</c:v>
                </c:pt>
              </c:strCache>
            </c:strRef>
          </c:tx>
          <c:dPt>
            <c:idx val="0"/>
            <c:bubble3D val="0"/>
            <c:spPr>
              <a:solidFill>
                <a:schemeClr val="accent1"/>
              </a:solidFill>
              <a:ln>
                <a:noFill/>
              </a:ln>
              <a:effectLst/>
              <a:sp3d/>
            </c:spPr>
            <c:extLst>
              <c:ext xmlns:c16="http://schemas.microsoft.com/office/drawing/2014/chart" uri="{C3380CC4-5D6E-409C-BE32-E72D297353CC}">
                <c16:uniqueId val="{00000001-27F3-4321-8C22-66826F449813}"/>
              </c:ext>
            </c:extLst>
          </c:dPt>
          <c:dPt>
            <c:idx val="1"/>
            <c:bubble3D val="0"/>
            <c:spPr>
              <a:solidFill>
                <a:schemeClr val="tx2">
                  <a:lumMod val="20000"/>
                  <a:lumOff val="80000"/>
                </a:schemeClr>
              </a:solidFill>
              <a:ln>
                <a:noFill/>
              </a:ln>
              <a:effectLst/>
              <a:sp3d/>
            </c:spPr>
            <c:extLst>
              <c:ext xmlns:c16="http://schemas.microsoft.com/office/drawing/2014/chart" uri="{C3380CC4-5D6E-409C-BE32-E72D297353CC}">
                <c16:uniqueId val="{00000003-27F3-4321-8C22-66826F449813}"/>
              </c:ext>
            </c:extLst>
          </c:dPt>
          <c:dPt>
            <c:idx val="2"/>
            <c:bubble3D val="0"/>
            <c:spPr>
              <a:solidFill>
                <a:schemeClr val="tx2">
                  <a:lumMod val="40000"/>
                  <a:lumOff val="60000"/>
                </a:schemeClr>
              </a:solidFill>
              <a:ln>
                <a:noFill/>
              </a:ln>
              <a:effectLst/>
              <a:sp3d/>
            </c:spPr>
            <c:extLst>
              <c:ext xmlns:c16="http://schemas.microsoft.com/office/drawing/2014/chart" uri="{C3380CC4-5D6E-409C-BE32-E72D297353CC}">
                <c16:uniqueId val="{00000005-27F3-4321-8C22-66826F449813}"/>
              </c:ext>
            </c:extLst>
          </c:dPt>
          <c:dPt>
            <c:idx val="3"/>
            <c:bubble3D val="0"/>
            <c:spPr>
              <a:solidFill>
                <a:schemeClr val="tx2">
                  <a:lumMod val="75000"/>
                </a:schemeClr>
              </a:solidFill>
              <a:ln>
                <a:noFill/>
              </a:ln>
              <a:effectLst/>
              <a:sp3d/>
            </c:spPr>
            <c:extLst>
              <c:ext xmlns:c16="http://schemas.microsoft.com/office/drawing/2014/chart" uri="{C3380CC4-5D6E-409C-BE32-E72D297353CC}">
                <c16:uniqueId val="{00000007-27F3-4321-8C22-66826F449813}"/>
              </c:ext>
            </c:extLst>
          </c:dPt>
          <c:dPt>
            <c:idx val="4"/>
            <c:bubble3D val="0"/>
            <c:spPr>
              <a:solidFill>
                <a:schemeClr val="accent5"/>
              </a:solidFill>
              <a:ln>
                <a:noFill/>
              </a:ln>
              <a:effectLst/>
              <a:sp3d/>
            </c:spPr>
            <c:extLst>
              <c:ext xmlns:c16="http://schemas.microsoft.com/office/drawing/2014/chart" uri="{C3380CC4-5D6E-409C-BE32-E72D297353CC}">
                <c16:uniqueId val="{00000009-27F3-4321-8C22-66826F449813}"/>
              </c:ext>
            </c:extLst>
          </c:dPt>
          <c:cat>
            <c:strRef>
              <c:f>Analysis!$G$25:$G$30</c:f>
              <c:strCache>
                <c:ptCount val="5"/>
                <c:pt idx="0">
                  <c:v>Critical</c:v>
                </c:pt>
                <c:pt idx="1">
                  <c:v>High</c:v>
                </c:pt>
                <c:pt idx="2">
                  <c:v>Low</c:v>
                </c:pt>
                <c:pt idx="3">
                  <c:v>Medium</c:v>
                </c:pt>
                <c:pt idx="4">
                  <c:v>Unknown</c:v>
                </c:pt>
              </c:strCache>
            </c:strRef>
          </c:cat>
          <c:val>
            <c:numRef>
              <c:f>Analysis!$H$25:$H$30</c:f>
              <c:numCache>
                <c:formatCode>General</c:formatCode>
                <c:ptCount val="5"/>
                <c:pt idx="0">
                  <c:v>635</c:v>
                </c:pt>
                <c:pt idx="1">
                  <c:v>989</c:v>
                </c:pt>
                <c:pt idx="2">
                  <c:v>1155</c:v>
                </c:pt>
                <c:pt idx="3">
                  <c:v>948</c:v>
                </c:pt>
                <c:pt idx="4">
                  <c:v>12</c:v>
                </c:pt>
              </c:numCache>
            </c:numRef>
          </c:val>
          <c:extLst>
            <c:ext xmlns:c16="http://schemas.microsoft.com/office/drawing/2014/chart" uri="{C3380CC4-5D6E-409C-BE32-E72D297353CC}">
              <c16:uniqueId val="{0000000A-27F3-4321-8C22-66826F449813}"/>
            </c:ext>
          </c:extLst>
        </c:ser>
        <c:dLbls>
          <c:showLegendKey val="0"/>
          <c:showVal val="0"/>
          <c:showCatName val="0"/>
          <c:showSerName val="0"/>
          <c:showPercent val="0"/>
          <c:showBubbleSize val="0"/>
          <c:showLeaderLines val="1"/>
        </c:dLbls>
      </c:pie3DChart>
      <c:spPr>
        <a:noFill/>
        <a:ln>
          <a:noFill/>
        </a:ln>
        <a:effectLst/>
      </c:spPr>
    </c:plotArea>
    <c:legend>
      <c:legendPos val="t"/>
      <c:layout>
        <c:manualLayout>
          <c:xMode val="edge"/>
          <c:yMode val="edge"/>
          <c:x val="0"/>
          <c:y val="0.20354835661670009"/>
          <c:w val="0.91314211525578048"/>
          <c:h val="0.220558826689171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330200</xdr:colOff>
      <xdr:row>0</xdr:row>
      <xdr:rowOff>31750</xdr:rowOff>
    </xdr:from>
    <xdr:to>
      <xdr:col>14</xdr:col>
      <xdr:colOff>387350</xdr:colOff>
      <xdr:row>19</xdr:row>
      <xdr:rowOff>177800</xdr:rowOff>
    </xdr:to>
    <xdr:sp macro="" textlink="">
      <xdr:nvSpPr>
        <xdr:cNvPr id="2" name="Rectangle 1">
          <a:extLst>
            <a:ext uri="{FF2B5EF4-FFF2-40B4-BE49-F238E27FC236}">
              <a16:creationId xmlns:a16="http://schemas.microsoft.com/office/drawing/2014/main" id="{0F66C9AE-B3F0-C47F-94EC-7D6BE9CCFA79}"/>
            </a:ext>
          </a:extLst>
        </xdr:cNvPr>
        <xdr:cNvSpPr/>
      </xdr:nvSpPr>
      <xdr:spPr>
        <a:xfrm>
          <a:off x="939800" y="31750"/>
          <a:ext cx="7981950" cy="3644900"/>
        </a:xfrm>
        <a:prstGeom prst="rect">
          <a:avLst/>
        </a:prstGeom>
        <a:solidFill>
          <a:schemeClr val="bg1">
            <a:lumMod val="8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ysClr val="windowText" lastClr="000000"/>
              </a:solidFill>
            </a:rPr>
            <a:t>Customer</a:t>
          </a:r>
          <a:r>
            <a:rPr lang="en-US" sz="1600" baseline="0">
              <a:solidFill>
                <a:sysClr val="windowText" lastClr="000000"/>
              </a:solidFill>
            </a:rPr>
            <a:t> Support Ticket Analysis Dashboard</a:t>
          </a:r>
          <a:endParaRPr lang="en-NG" sz="1600">
            <a:solidFill>
              <a:sysClr val="windowText" lastClr="000000"/>
            </a:solidFill>
          </a:endParaRPr>
        </a:p>
      </xdr:txBody>
    </xdr:sp>
    <xdr:clientData/>
  </xdr:twoCellAnchor>
  <xdr:twoCellAnchor>
    <xdr:from>
      <xdr:col>1</xdr:col>
      <xdr:colOff>425450</xdr:colOff>
      <xdr:row>1</xdr:row>
      <xdr:rowOff>165100</xdr:rowOff>
    </xdr:from>
    <xdr:to>
      <xdr:col>3</xdr:col>
      <xdr:colOff>603250</xdr:colOff>
      <xdr:row>6</xdr:row>
      <xdr:rowOff>25400</xdr:rowOff>
    </xdr:to>
    <xdr:sp macro="" textlink="">
      <xdr:nvSpPr>
        <xdr:cNvPr id="3" name="Rectangle 2">
          <a:extLst>
            <a:ext uri="{FF2B5EF4-FFF2-40B4-BE49-F238E27FC236}">
              <a16:creationId xmlns:a16="http://schemas.microsoft.com/office/drawing/2014/main" id="{485BD305-4316-76BA-6A1A-FD6E6C571ED7}"/>
            </a:ext>
          </a:extLst>
        </xdr:cNvPr>
        <xdr:cNvSpPr/>
      </xdr:nvSpPr>
      <xdr:spPr>
        <a:xfrm>
          <a:off x="1035050" y="349250"/>
          <a:ext cx="1397000" cy="781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t>T</a:t>
          </a:r>
          <a:r>
            <a:rPr lang="en-US" sz="1100">
              <a:solidFill>
                <a:sysClr val="windowText" lastClr="000000"/>
              </a:solidFill>
            </a:rPr>
            <a:t>TOTAL TICKETS</a:t>
          </a:r>
        </a:p>
        <a:p>
          <a:pPr algn="ctr"/>
          <a:endParaRPr lang="en-US" sz="1100">
            <a:solidFill>
              <a:sysClr val="windowText" lastClr="000000"/>
            </a:solidFill>
          </a:endParaRPr>
        </a:p>
        <a:p>
          <a:pPr algn="ctr"/>
          <a:endParaRPr lang="en-US" sz="1100">
            <a:solidFill>
              <a:sysClr val="windowText" lastClr="000000"/>
            </a:solidFill>
          </a:endParaRPr>
        </a:p>
        <a:p>
          <a:pPr algn="ctr"/>
          <a:r>
            <a:rPr lang="en-US" sz="1100">
              <a:solidFill>
                <a:schemeClr val="tx2">
                  <a:lumMod val="60000"/>
                  <a:lumOff val="40000"/>
                </a:schemeClr>
              </a:solidFill>
            </a:rPr>
            <a:t>122</a:t>
          </a:r>
          <a:endParaRPr lang="en-NG" sz="1100">
            <a:solidFill>
              <a:schemeClr val="tx2">
                <a:lumMod val="60000"/>
                <a:lumOff val="40000"/>
              </a:schemeClr>
            </a:solidFill>
          </a:endParaRPr>
        </a:p>
      </xdr:txBody>
    </xdr:sp>
    <xdr:clientData/>
  </xdr:twoCellAnchor>
  <xdr:twoCellAnchor>
    <xdr:from>
      <xdr:col>1</xdr:col>
      <xdr:colOff>416983</xdr:colOff>
      <xdr:row>6</xdr:row>
      <xdr:rowOff>63500</xdr:rowOff>
    </xdr:from>
    <xdr:to>
      <xdr:col>3</xdr:col>
      <xdr:colOff>594783</xdr:colOff>
      <xdr:row>10</xdr:row>
      <xdr:rowOff>107950</xdr:rowOff>
    </xdr:to>
    <xdr:sp macro="" textlink="">
      <xdr:nvSpPr>
        <xdr:cNvPr id="4" name="Rectangle 3">
          <a:extLst>
            <a:ext uri="{FF2B5EF4-FFF2-40B4-BE49-F238E27FC236}">
              <a16:creationId xmlns:a16="http://schemas.microsoft.com/office/drawing/2014/main" id="{15654624-8851-4DBB-B85C-CB95D2001B85}"/>
            </a:ext>
          </a:extLst>
        </xdr:cNvPr>
        <xdr:cNvSpPr/>
      </xdr:nvSpPr>
      <xdr:spPr>
        <a:xfrm>
          <a:off x="1026583" y="1168400"/>
          <a:ext cx="1397000" cy="781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TOTAL</a:t>
          </a:r>
          <a:r>
            <a:rPr lang="en-US" sz="1100" baseline="0">
              <a:solidFill>
                <a:sysClr val="windowText" lastClr="000000"/>
              </a:solidFill>
            </a:rPr>
            <a:t> CUSTOMERS</a:t>
          </a:r>
        </a:p>
        <a:p>
          <a:pPr algn="l"/>
          <a:endParaRPr lang="en-US" sz="1100" baseline="0">
            <a:solidFill>
              <a:sysClr val="windowText" lastClr="000000"/>
            </a:solidFill>
          </a:endParaRPr>
        </a:p>
        <a:p>
          <a:pPr algn="ctr"/>
          <a:endParaRPr lang="en-US" sz="1100" baseline="0">
            <a:solidFill>
              <a:sysClr val="windowText" lastClr="000000"/>
            </a:solidFill>
          </a:endParaRPr>
        </a:p>
        <a:p>
          <a:pPr algn="ctr"/>
          <a:r>
            <a:rPr lang="en-US" sz="1100" baseline="0">
              <a:solidFill>
                <a:schemeClr val="tx2">
                  <a:lumMod val="60000"/>
                  <a:lumOff val="40000"/>
                </a:schemeClr>
              </a:solidFill>
            </a:rPr>
            <a:t>41</a:t>
          </a:r>
        </a:p>
      </xdr:txBody>
    </xdr:sp>
    <xdr:clientData/>
  </xdr:twoCellAnchor>
  <xdr:twoCellAnchor>
    <xdr:from>
      <xdr:col>1</xdr:col>
      <xdr:colOff>427566</xdr:colOff>
      <xdr:row>10</xdr:row>
      <xdr:rowOff>139700</xdr:rowOff>
    </xdr:from>
    <xdr:to>
      <xdr:col>3</xdr:col>
      <xdr:colOff>605366</xdr:colOff>
      <xdr:row>15</xdr:row>
      <xdr:rowOff>0</xdr:rowOff>
    </xdr:to>
    <xdr:sp macro="" textlink="">
      <xdr:nvSpPr>
        <xdr:cNvPr id="5" name="Rectangle 4">
          <a:extLst>
            <a:ext uri="{FF2B5EF4-FFF2-40B4-BE49-F238E27FC236}">
              <a16:creationId xmlns:a16="http://schemas.microsoft.com/office/drawing/2014/main" id="{F0986392-CE11-4254-B566-0179BB41AE57}"/>
            </a:ext>
          </a:extLst>
        </xdr:cNvPr>
        <xdr:cNvSpPr/>
      </xdr:nvSpPr>
      <xdr:spPr>
        <a:xfrm>
          <a:off x="1037166" y="1981200"/>
          <a:ext cx="1397000" cy="781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TOTAL DEPARTMENT</a:t>
          </a:r>
        </a:p>
        <a:p>
          <a:pPr algn="ctr"/>
          <a:endParaRPr lang="en-US" sz="1100">
            <a:solidFill>
              <a:sysClr val="windowText" lastClr="000000"/>
            </a:solidFill>
          </a:endParaRPr>
        </a:p>
        <a:p>
          <a:pPr algn="ctr"/>
          <a:endParaRPr lang="en-US" sz="1100">
            <a:solidFill>
              <a:sysClr val="windowText" lastClr="000000"/>
            </a:solidFill>
          </a:endParaRPr>
        </a:p>
        <a:p>
          <a:pPr algn="ctr"/>
          <a:r>
            <a:rPr lang="en-US" sz="1100">
              <a:solidFill>
                <a:schemeClr val="tx2">
                  <a:lumMod val="60000"/>
                  <a:lumOff val="40000"/>
                </a:schemeClr>
              </a:solidFill>
            </a:rPr>
            <a:t>3</a:t>
          </a:r>
          <a:endParaRPr lang="en-NG" sz="1100">
            <a:solidFill>
              <a:schemeClr val="tx2">
                <a:lumMod val="60000"/>
                <a:lumOff val="40000"/>
              </a:schemeClr>
            </a:solidFill>
          </a:endParaRPr>
        </a:p>
      </xdr:txBody>
    </xdr:sp>
    <xdr:clientData/>
  </xdr:twoCellAnchor>
  <xdr:twoCellAnchor>
    <xdr:from>
      <xdr:col>1</xdr:col>
      <xdr:colOff>431800</xdr:colOff>
      <xdr:row>15</xdr:row>
      <xdr:rowOff>31750</xdr:rowOff>
    </xdr:from>
    <xdr:to>
      <xdr:col>4</xdr:col>
      <xdr:colOff>0</xdr:colOff>
      <xdr:row>19</xdr:row>
      <xdr:rowOff>76200</xdr:rowOff>
    </xdr:to>
    <xdr:sp macro="" textlink="">
      <xdr:nvSpPr>
        <xdr:cNvPr id="6" name="Rectangle 5">
          <a:extLst>
            <a:ext uri="{FF2B5EF4-FFF2-40B4-BE49-F238E27FC236}">
              <a16:creationId xmlns:a16="http://schemas.microsoft.com/office/drawing/2014/main" id="{08B935B3-A810-4924-9713-C094EB7A9F07}"/>
            </a:ext>
          </a:extLst>
        </xdr:cNvPr>
        <xdr:cNvSpPr/>
      </xdr:nvSpPr>
      <xdr:spPr>
        <a:xfrm>
          <a:off x="1041400" y="2794000"/>
          <a:ext cx="1397000" cy="78105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AVERAGE RESOLUTION</a:t>
          </a:r>
          <a:r>
            <a:rPr lang="en-US" sz="1100" baseline="0">
              <a:solidFill>
                <a:sysClr val="windowText" lastClr="000000"/>
              </a:solidFill>
            </a:rPr>
            <a:t> TIME</a:t>
          </a:r>
        </a:p>
        <a:p>
          <a:pPr algn="ctr"/>
          <a:endParaRPr lang="en-US" sz="1100" baseline="0">
            <a:solidFill>
              <a:sysClr val="windowText" lastClr="000000"/>
            </a:solidFill>
          </a:endParaRPr>
        </a:p>
        <a:p>
          <a:pPr algn="ctr"/>
          <a:r>
            <a:rPr lang="en-US" sz="1100" baseline="0">
              <a:solidFill>
                <a:schemeClr val="tx2">
                  <a:lumMod val="60000"/>
                  <a:lumOff val="40000"/>
                </a:schemeClr>
              </a:solidFill>
            </a:rPr>
            <a:t>34</a:t>
          </a:r>
          <a:r>
            <a:rPr lang="en-US" sz="1100" baseline="0">
              <a:solidFill>
                <a:sysClr val="windowText" lastClr="000000"/>
              </a:solidFill>
            </a:rPr>
            <a:t> </a:t>
          </a:r>
          <a:r>
            <a:rPr lang="en-US" sz="1100" baseline="0">
              <a:solidFill>
                <a:schemeClr val="tx2">
                  <a:lumMod val="60000"/>
                  <a:lumOff val="40000"/>
                </a:schemeClr>
              </a:solidFill>
            </a:rPr>
            <a:t>HOURS</a:t>
          </a:r>
          <a:endParaRPr lang="en-NG" sz="1100">
            <a:solidFill>
              <a:schemeClr val="tx2">
                <a:lumMod val="60000"/>
                <a:lumOff val="40000"/>
              </a:schemeClr>
            </a:solidFill>
          </a:endParaRPr>
        </a:p>
      </xdr:txBody>
    </xdr:sp>
    <xdr:clientData/>
  </xdr:twoCellAnchor>
  <xdr:twoCellAnchor>
    <xdr:from>
      <xdr:col>4</xdr:col>
      <xdr:colOff>42333</xdr:colOff>
      <xdr:row>1</xdr:row>
      <xdr:rowOff>162278</xdr:rowOff>
    </xdr:from>
    <xdr:to>
      <xdr:col>6</xdr:col>
      <xdr:colOff>599723</xdr:colOff>
      <xdr:row>10</xdr:row>
      <xdr:rowOff>105833</xdr:rowOff>
    </xdr:to>
    <xdr:sp macro="" textlink="">
      <xdr:nvSpPr>
        <xdr:cNvPr id="7" name="Rectangle 6">
          <a:extLst>
            <a:ext uri="{FF2B5EF4-FFF2-40B4-BE49-F238E27FC236}">
              <a16:creationId xmlns:a16="http://schemas.microsoft.com/office/drawing/2014/main" id="{7884259B-4E97-0A04-2F16-50F2168E86AF}"/>
            </a:ext>
          </a:extLst>
        </xdr:cNvPr>
        <xdr:cNvSpPr/>
      </xdr:nvSpPr>
      <xdr:spPr>
        <a:xfrm>
          <a:off x="2469444" y="345722"/>
          <a:ext cx="1770946" cy="159455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4</xdr:col>
      <xdr:colOff>57150</xdr:colOff>
      <xdr:row>10</xdr:row>
      <xdr:rowOff>167923</xdr:rowOff>
    </xdr:from>
    <xdr:to>
      <xdr:col>6</xdr:col>
      <xdr:colOff>593371</xdr:colOff>
      <xdr:row>19</xdr:row>
      <xdr:rowOff>72673</xdr:rowOff>
    </xdr:to>
    <xdr:sp macro="" textlink="">
      <xdr:nvSpPr>
        <xdr:cNvPr id="8" name="Rectangle 7">
          <a:extLst>
            <a:ext uri="{FF2B5EF4-FFF2-40B4-BE49-F238E27FC236}">
              <a16:creationId xmlns:a16="http://schemas.microsoft.com/office/drawing/2014/main" id="{5EAD95A7-D1DA-44E8-AFA2-F4A17E4AF31B}"/>
            </a:ext>
          </a:extLst>
        </xdr:cNvPr>
        <xdr:cNvSpPr/>
      </xdr:nvSpPr>
      <xdr:spPr>
        <a:xfrm>
          <a:off x="2495550" y="2009423"/>
          <a:ext cx="1755421" cy="1562100"/>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19050</xdr:colOff>
      <xdr:row>10</xdr:row>
      <xdr:rowOff>154517</xdr:rowOff>
    </xdr:from>
    <xdr:to>
      <xdr:col>11</xdr:col>
      <xdr:colOff>405693</xdr:colOff>
      <xdr:row>19</xdr:row>
      <xdr:rowOff>67734</xdr:rowOff>
    </xdr:to>
    <xdr:sp macro="" textlink="">
      <xdr:nvSpPr>
        <xdr:cNvPr id="9" name="Rectangle 8">
          <a:extLst>
            <a:ext uri="{FF2B5EF4-FFF2-40B4-BE49-F238E27FC236}">
              <a16:creationId xmlns:a16="http://schemas.microsoft.com/office/drawing/2014/main" id="{657AD4E7-2A7F-4CBA-A521-C80900B29051}"/>
            </a:ext>
          </a:extLst>
        </xdr:cNvPr>
        <xdr:cNvSpPr/>
      </xdr:nvSpPr>
      <xdr:spPr>
        <a:xfrm>
          <a:off x="4286250" y="1996017"/>
          <a:ext cx="2825043" cy="1570567"/>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19050</xdr:colOff>
      <xdr:row>1</xdr:row>
      <xdr:rowOff>162278</xdr:rowOff>
    </xdr:from>
    <xdr:to>
      <xdr:col>11</xdr:col>
      <xdr:colOff>400049</xdr:colOff>
      <xdr:row>10</xdr:row>
      <xdr:rowOff>105834</xdr:rowOff>
    </xdr:to>
    <xdr:sp macro="" textlink="">
      <xdr:nvSpPr>
        <xdr:cNvPr id="10" name="Rectangle 9">
          <a:extLst>
            <a:ext uri="{FF2B5EF4-FFF2-40B4-BE49-F238E27FC236}">
              <a16:creationId xmlns:a16="http://schemas.microsoft.com/office/drawing/2014/main" id="{D249424D-6B7C-4530-A723-DDD7C430D318}"/>
            </a:ext>
          </a:extLst>
        </xdr:cNvPr>
        <xdr:cNvSpPr/>
      </xdr:nvSpPr>
      <xdr:spPr>
        <a:xfrm>
          <a:off x="4286250" y="346428"/>
          <a:ext cx="2819399" cy="160090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431799</xdr:colOff>
      <xdr:row>1</xdr:row>
      <xdr:rowOff>169334</xdr:rowOff>
    </xdr:from>
    <xdr:to>
      <xdr:col>14</xdr:col>
      <xdr:colOff>354188</xdr:colOff>
      <xdr:row>10</xdr:row>
      <xdr:rowOff>107950</xdr:rowOff>
    </xdr:to>
    <xdr:sp macro="" textlink="">
      <xdr:nvSpPr>
        <xdr:cNvPr id="11" name="Rectangle 10">
          <a:extLst>
            <a:ext uri="{FF2B5EF4-FFF2-40B4-BE49-F238E27FC236}">
              <a16:creationId xmlns:a16="http://schemas.microsoft.com/office/drawing/2014/main" id="{250B77CA-8EB3-4981-BA8A-C754B5DE7A5A}"/>
            </a:ext>
          </a:extLst>
        </xdr:cNvPr>
        <xdr:cNvSpPr/>
      </xdr:nvSpPr>
      <xdr:spPr>
        <a:xfrm>
          <a:off x="7137399" y="353484"/>
          <a:ext cx="1751189" cy="1595966"/>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438855</xdr:colOff>
      <xdr:row>10</xdr:row>
      <xdr:rowOff>158749</xdr:rowOff>
    </xdr:from>
    <xdr:to>
      <xdr:col>14</xdr:col>
      <xdr:colOff>361244</xdr:colOff>
      <xdr:row>19</xdr:row>
      <xdr:rowOff>56444</xdr:rowOff>
    </xdr:to>
    <xdr:sp macro="" textlink="">
      <xdr:nvSpPr>
        <xdr:cNvPr id="12" name="Rectangle 11">
          <a:extLst>
            <a:ext uri="{FF2B5EF4-FFF2-40B4-BE49-F238E27FC236}">
              <a16:creationId xmlns:a16="http://schemas.microsoft.com/office/drawing/2014/main" id="{0C2DF9C9-6DD5-4CAA-9652-F98C9E0E8679}"/>
            </a:ext>
          </a:extLst>
        </xdr:cNvPr>
        <xdr:cNvSpPr/>
      </xdr:nvSpPr>
      <xdr:spPr>
        <a:xfrm>
          <a:off x="7144455" y="2000249"/>
          <a:ext cx="1751189" cy="155504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2</xdr:col>
      <xdr:colOff>584200</xdr:colOff>
      <xdr:row>1</xdr:row>
      <xdr:rowOff>161572</xdr:rowOff>
    </xdr:from>
    <xdr:to>
      <xdr:col>8</xdr:col>
      <xdr:colOff>323850</xdr:colOff>
      <xdr:row>10</xdr:row>
      <xdr:rowOff>76200</xdr:rowOff>
    </xdr:to>
    <xdr:graphicFrame macro="">
      <xdr:nvGraphicFramePr>
        <xdr:cNvPr id="13" name="Chart 12">
          <a:extLst>
            <a:ext uri="{FF2B5EF4-FFF2-40B4-BE49-F238E27FC236}">
              <a16:creationId xmlns:a16="http://schemas.microsoft.com/office/drawing/2014/main" id="{592128E8-ABFD-442B-AFF9-58984D1EAC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558800</xdr:colOff>
      <xdr:row>1</xdr:row>
      <xdr:rowOff>162278</xdr:rowOff>
    </xdr:from>
    <xdr:to>
      <xdr:col>12</xdr:col>
      <xdr:colOff>152400</xdr:colOff>
      <xdr:row>11</xdr:row>
      <xdr:rowOff>120650</xdr:rowOff>
    </xdr:to>
    <xdr:graphicFrame macro="">
      <xdr:nvGraphicFramePr>
        <xdr:cNvPr id="14" name="Chart 13">
          <a:extLst>
            <a:ext uri="{FF2B5EF4-FFF2-40B4-BE49-F238E27FC236}">
              <a16:creationId xmlns:a16="http://schemas.microsoft.com/office/drawing/2014/main" id="{AE89FB6E-88CD-409C-A149-5C6587CA21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9</xdr:row>
      <xdr:rowOff>152400</xdr:rowOff>
    </xdr:from>
    <xdr:to>
      <xdr:col>15</xdr:col>
      <xdr:colOff>222250</xdr:colOff>
      <xdr:row>19</xdr:row>
      <xdr:rowOff>50800</xdr:rowOff>
    </xdr:to>
    <xdr:graphicFrame macro="">
      <xdr:nvGraphicFramePr>
        <xdr:cNvPr id="15" name="Chart 14">
          <a:extLst>
            <a:ext uri="{FF2B5EF4-FFF2-40B4-BE49-F238E27FC236}">
              <a16:creationId xmlns:a16="http://schemas.microsoft.com/office/drawing/2014/main" id="{16F8237E-DACF-4C28-B3EC-E3A923F26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603250</xdr:colOff>
      <xdr:row>10</xdr:row>
      <xdr:rowOff>165100</xdr:rowOff>
    </xdr:from>
    <xdr:to>
      <xdr:col>11</xdr:col>
      <xdr:colOff>368300</xdr:colOff>
      <xdr:row>19</xdr:row>
      <xdr:rowOff>133350</xdr:rowOff>
    </xdr:to>
    <xdr:graphicFrame macro="">
      <xdr:nvGraphicFramePr>
        <xdr:cNvPr id="16" name="Chart 15">
          <a:extLst>
            <a:ext uri="{FF2B5EF4-FFF2-40B4-BE49-F238E27FC236}">
              <a16:creationId xmlns:a16="http://schemas.microsoft.com/office/drawing/2014/main" id="{4860AC44-671E-43AD-91F8-B636C49138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412749</xdr:colOff>
      <xdr:row>2</xdr:row>
      <xdr:rowOff>10584</xdr:rowOff>
    </xdr:from>
    <xdr:to>
      <xdr:col>14</xdr:col>
      <xdr:colOff>508000</xdr:colOff>
      <xdr:row>10</xdr:row>
      <xdr:rowOff>82550</xdr:rowOff>
    </xdr:to>
    <xdr:graphicFrame macro="">
      <xdr:nvGraphicFramePr>
        <xdr:cNvPr id="18" name="Chart 17">
          <a:extLst>
            <a:ext uri="{FF2B5EF4-FFF2-40B4-BE49-F238E27FC236}">
              <a16:creationId xmlns:a16="http://schemas.microsoft.com/office/drawing/2014/main" id="{F6B6BB27-280E-40C5-82A5-E1DDF966A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355600</xdr:colOff>
      <xdr:row>0</xdr:row>
      <xdr:rowOff>44450</xdr:rowOff>
    </xdr:from>
    <xdr:to>
      <xdr:col>14</xdr:col>
      <xdr:colOff>166601</xdr:colOff>
      <xdr:row>1</xdr:row>
      <xdr:rowOff>148300</xdr:rowOff>
    </xdr:to>
    <mc:AlternateContent xmlns:mc="http://schemas.openxmlformats.org/markup-compatibility/2006" xmlns:a14="http://schemas.microsoft.com/office/drawing/2010/main">
      <mc:Choice Requires="a14">
        <xdr:graphicFrame macro="">
          <xdr:nvGraphicFramePr>
            <xdr:cNvPr id="20" name="Status">
              <a:extLst>
                <a:ext uri="{FF2B5EF4-FFF2-40B4-BE49-F238E27FC236}">
                  <a16:creationId xmlns:a16="http://schemas.microsoft.com/office/drawing/2014/main" id="{0AE33053-707C-FB47-318F-F713240474D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232400" y="44450"/>
              <a:ext cx="3468601" cy="288000"/>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50800</xdr:colOff>
      <xdr:row>10</xdr:row>
      <xdr:rowOff>127000</xdr:rowOff>
    </xdr:from>
    <xdr:to>
      <xdr:col>4</xdr:col>
      <xdr:colOff>596900</xdr:colOff>
      <xdr:row>12</xdr:row>
      <xdr:rowOff>76200</xdr:rowOff>
    </xdr:to>
    <xdr:sp macro="" textlink="">
      <xdr:nvSpPr>
        <xdr:cNvPr id="21" name="TextBox 20">
          <a:extLst>
            <a:ext uri="{FF2B5EF4-FFF2-40B4-BE49-F238E27FC236}">
              <a16:creationId xmlns:a16="http://schemas.microsoft.com/office/drawing/2014/main" id="{0E019CA0-22CF-1735-7526-BBB48B28C867}"/>
            </a:ext>
          </a:extLst>
        </xdr:cNvPr>
        <xdr:cNvSpPr txBox="1"/>
      </xdr:nvSpPr>
      <xdr:spPr>
        <a:xfrm>
          <a:off x="2489200" y="1968500"/>
          <a:ext cx="5461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t>Insights</a:t>
          </a:r>
          <a:endParaRPr lang="en-NG" sz="900"/>
        </a:p>
      </xdr:txBody>
    </xdr:sp>
    <xdr:clientData/>
  </xdr:twoCellAnchor>
  <xdr:twoCellAnchor>
    <xdr:from>
      <xdr:col>4</xdr:col>
      <xdr:colOff>57150</xdr:colOff>
      <xdr:row>11</xdr:row>
      <xdr:rowOff>127000</xdr:rowOff>
    </xdr:from>
    <xdr:to>
      <xdr:col>6</xdr:col>
      <xdr:colOff>596900</xdr:colOff>
      <xdr:row>13</xdr:row>
      <xdr:rowOff>133350</xdr:rowOff>
    </xdr:to>
    <xdr:sp macro="" textlink="">
      <xdr:nvSpPr>
        <xdr:cNvPr id="4097" name="Text Box 1">
          <a:extLst>
            <a:ext uri="{FF2B5EF4-FFF2-40B4-BE49-F238E27FC236}">
              <a16:creationId xmlns:a16="http://schemas.microsoft.com/office/drawing/2014/main" id="{8D64918F-214F-0B19-05CA-55DD8070C2C1}"/>
            </a:ext>
          </a:extLst>
        </xdr:cNvPr>
        <xdr:cNvSpPr txBox="1">
          <a:spLocks noChangeArrowheads="1"/>
        </xdr:cNvSpPr>
      </xdr:nvSpPr>
      <xdr:spPr bwMode="auto">
        <a:xfrm>
          <a:off x="2495550" y="2152650"/>
          <a:ext cx="1758950" cy="374650"/>
        </a:xfrm>
        <a:prstGeom prst="rect">
          <a:avLst/>
        </a:prstGeom>
        <a:noFill/>
        <a:ln w="9525">
          <a:noFill/>
          <a:miter lim="800000"/>
          <a:headEnd/>
          <a:tailEnd/>
        </a:ln>
      </xdr:spPr>
      <xdr:txBody>
        <a:bodyPr vertOverflow="clip" wrap="square" lIns="36576" tIns="36576" rIns="0" bIns="0" anchor="t" upright="1"/>
        <a:lstStyle/>
        <a:p>
          <a:pPr algn="l" rtl="0">
            <a:defRPr sz="1000"/>
          </a:pPr>
          <a:r>
            <a:rPr lang="en-US" sz="800" b="0" i="0" u="none" strike="noStrike" baseline="0">
              <a:solidFill>
                <a:srgbClr val="000000"/>
              </a:solidFill>
              <a:latin typeface="Calibri"/>
              <a:ea typeface="Calibri"/>
              <a:cs typeface="Calibri"/>
            </a:rPr>
            <a:t>.</a:t>
          </a:r>
          <a:r>
            <a:rPr lang="en-NG" sz="800" b="0" i="0" u="none" strike="noStrike" baseline="0">
              <a:solidFill>
                <a:srgbClr val="000000"/>
              </a:solidFill>
              <a:latin typeface="Calibri"/>
              <a:ea typeface="Calibri"/>
              <a:cs typeface="Calibri"/>
            </a:rPr>
            <a:t>John handles the highest number of tickets, making him the busiest</a:t>
          </a:r>
          <a:r>
            <a:rPr lang="en-US" sz="800" b="0" i="0" u="none" strike="noStrike" baseline="0">
              <a:solidFill>
                <a:srgbClr val="000000"/>
              </a:solidFill>
              <a:latin typeface="Calibri"/>
              <a:ea typeface="Calibri"/>
              <a:cs typeface="Calibri"/>
            </a:rPr>
            <a:t> agent</a:t>
          </a:r>
          <a:r>
            <a:rPr lang="en-NG" sz="1100" b="0" i="0" u="none" strike="noStrike" baseline="0">
              <a:solidFill>
                <a:srgbClr val="000000"/>
              </a:solidFill>
              <a:latin typeface="Calibri"/>
              <a:ea typeface="Calibri"/>
              <a:cs typeface="Calibri"/>
            </a:rPr>
            <a:t>.</a:t>
          </a:r>
        </a:p>
      </xdr:txBody>
    </xdr:sp>
    <xdr:clientData/>
  </xdr:twoCellAnchor>
  <xdr:twoCellAnchor>
    <xdr:from>
      <xdr:col>4</xdr:col>
      <xdr:colOff>44450</xdr:colOff>
      <xdr:row>13</xdr:row>
      <xdr:rowOff>82550</xdr:rowOff>
    </xdr:from>
    <xdr:to>
      <xdr:col>6</xdr:col>
      <xdr:colOff>546100</xdr:colOff>
      <xdr:row>17</xdr:row>
      <xdr:rowOff>0</xdr:rowOff>
    </xdr:to>
    <xdr:sp macro="" textlink="">
      <xdr:nvSpPr>
        <xdr:cNvPr id="4098" name="Text Box 2">
          <a:extLst>
            <a:ext uri="{FF2B5EF4-FFF2-40B4-BE49-F238E27FC236}">
              <a16:creationId xmlns:a16="http://schemas.microsoft.com/office/drawing/2014/main" id="{93474806-884A-4374-6DAB-DD03EF97C1C3}"/>
            </a:ext>
          </a:extLst>
        </xdr:cNvPr>
        <xdr:cNvSpPr txBox="1">
          <a:spLocks noChangeArrowheads="1"/>
        </xdr:cNvSpPr>
      </xdr:nvSpPr>
      <xdr:spPr bwMode="auto">
        <a:xfrm>
          <a:off x="2482850" y="2476500"/>
          <a:ext cx="1720850" cy="654050"/>
        </a:xfrm>
        <a:prstGeom prst="rect">
          <a:avLst/>
        </a:prstGeom>
        <a:noFill/>
        <a:ln w="9525">
          <a:noFill/>
          <a:miter lim="800000"/>
          <a:headEnd/>
          <a:tailEnd/>
        </a:ln>
      </xdr:spPr>
      <xdr:txBody>
        <a:bodyPr vertOverflow="clip" wrap="square" lIns="36576" tIns="36576" rIns="0" bIns="0" anchor="t" upright="1"/>
        <a:lstStyle/>
        <a:p>
          <a:pPr algn="l" rtl="0">
            <a:defRPr sz="1000"/>
          </a:pPr>
          <a:r>
            <a:rPr lang="en-US" sz="800" b="0" i="0" u="none" strike="noStrike" baseline="0">
              <a:solidFill>
                <a:srgbClr val="000000"/>
              </a:solidFill>
              <a:latin typeface="Calibri"/>
              <a:ea typeface="Calibri"/>
              <a:cs typeface="Calibri"/>
            </a:rPr>
            <a:t>.</a:t>
          </a:r>
          <a:r>
            <a:rPr lang="en-NG" sz="800" b="0" i="0" u="none" strike="noStrike" baseline="0">
              <a:solidFill>
                <a:srgbClr val="000000"/>
              </a:solidFill>
              <a:latin typeface="Calibri"/>
              <a:ea typeface="Calibri"/>
              <a:cs typeface="Calibri"/>
            </a:rPr>
            <a:t>Bug Reports are the most common issue type.</a:t>
          </a:r>
        </a:p>
      </xdr:txBody>
    </xdr:sp>
    <xdr:clientData/>
  </xdr:twoCellAnchor>
  <xdr:twoCellAnchor>
    <xdr:from>
      <xdr:col>4</xdr:col>
      <xdr:colOff>25400</xdr:colOff>
      <xdr:row>14</xdr:row>
      <xdr:rowOff>171450</xdr:rowOff>
    </xdr:from>
    <xdr:to>
      <xdr:col>6</xdr:col>
      <xdr:colOff>603250</xdr:colOff>
      <xdr:row>17</xdr:row>
      <xdr:rowOff>57150</xdr:rowOff>
    </xdr:to>
    <xdr:sp macro="" textlink="">
      <xdr:nvSpPr>
        <xdr:cNvPr id="4099" name="Text Box 3">
          <a:extLst>
            <a:ext uri="{FF2B5EF4-FFF2-40B4-BE49-F238E27FC236}">
              <a16:creationId xmlns:a16="http://schemas.microsoft.com/office/drawing/2014/main" id="{55E24F22-348B-A61E-B1C2-E74B1CA10709}"/>
            </a:ext>
          </a:extLst>
        </xdr:cNvPr>
        <xdr:cNvSpPr txBox="1">
          <a:spLocks noChangeArrowheads="1"/>
        </xdr:cNvSpPr>
      </xdr:nvSpPr>
      <xdr:spPr bwMode="auto">
        <a:xfrm>
          <a:off x="2463800" y="2749550"/>
          <a:ext cx="1797050" cy="438150"/>
        </a:xfrm>
        <a:prstGeom prst="rect">
          <a:avLst/>
        </a:prstGeom>
        <a:noFill/>
        <a:ln w="9525">
          <a:noFill/>
          <a:miter lim="800000"/>
          <a:headEnd/>
          <a:tailEnd/>
        </a:ln>
      </xdr:spPr>
      <xdr:txBody>
        <a:bodyPr vertOverflow="clip" wrap="square" lIns="36576" tIns="36576" rIns="0" bIns="0" anchor="t" upright="1"/>
        <a:lstStyle/>
        <a:p>
          <a:pPr algn="l" rtl="0">
            <a:defRPr sz="1000"/>
          </a:pPr>
          <a:r>
            <a:rPr lang="en-US" sz="800" b="0" i="0" u="none" strike="noStrike" baseline="0">
              <a:solidFill>
                <a:srgbClr val="000000"/>
              </a:solidFill>
              <a:latin typeface="Calibri"/>
              <a:ea typeface="Calibri"/>
              <a:cs typeface="Calibri"/>
            </a:rPr>
            <a:t>.</a:t>
          </a:r>
          <a:r>
            <a:rPr lang="en-NG" sz="800" b="0" i="0" u="none" strike="noStrike" baseline="0">
              <a:solidFill>
                <a:srgbClr val="000000"/>
              </a:solidFill>
              <a:latin typeface="Calibri"/>
              <a:ea typeface="Calibri"/>
              <a:cs typeface="Calibri"/>
            </a:rPr>
            <a:t>Billing department receives the most support tickets.</a:t>
          </a:r>
        </a:p>
      </xdr:txBody>
    </xdr:sp>
    <xdr:clientData/>
  </xdr:twoCellAnchor>
  <xdr:twoCellAnchor>
    <xdr:from>
      <xdr:col>4</xdr:col>
      <xdr:colOff>44450</xdr:colOff>
      <xdr:row>16</xdr:row>
      <xdr:rowOff>76200</xdr:rowOff>
    </xdr:from>
    <xdr:to>
      <xdr:col>7</xdr:col>
      <xdr:colOff>19050</xdr:colOff>
      <xdr:row>20</xdr:row>
      <xdr:rowOff>146050</xdr:rowOff>
    </xdr:to>
    <xdr:sp macro="" textlink="">
      <xdr:nvSpPr>
        <xdr:cNvPr id="4100" name="Text Box 4">
          <a:extLst>
            <a:ext uri="{FF2B5EF4-FFF2-40B4-BE49-F238E27FC236}">
              <a16:creationId xmlns:a16="http://schemas.microsoft.com/office/drawing/2014/main" id="{4F065B9E-481B-90A4-4C96-ECA0DBF9C58A}"/>
            </a:ext>
          </a:extLst>
        </xdr:cNvPr>
        <xdr:cNvSpPr txBox="1">
          <a:spLocks noChangeArrowheads="1"/>
        </xdr:cNvSpPr>
      </xdr:nvSpPr>
      <xdr:spPr bwMode="auto">
        <a:xfrm>
          <a:off x="2482850" y="3022600"/>
          <a:ext cx="1803400" cy="806450"/>
        </a:xfrm>
        <a:prstGeom prst="rect">
          <a:avLst/>
        </a:prstGeom>
        <a:noFill/>
        <a:ln w="9525">
          <a:noFill/>
          <a:miter lim="800000"/>
          <a:headEnd/>
          <a:tailEnd/>
        </a:ln>
      </xdr:spPr>
      <xdr:txBody>
        <a:bodyPr vertOverflow="clip" wrap="square" lIns="36576" tIns="36576" rIns="0" bIns="0" anchor="t" upright="1"/>
        <a:lstStyle/>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Calibri"/>
              <a:ea typeface="Calibri"/>
              <a:cs typeface="Calibri"/>
            </a:rPr>
            <a:t>.</a:t>
          </a:r>
          <a:r>
            <a:rPr lang="en-NG" sz="800" b="0" i="0" u="none" strike="noStrike" baseline="0">
              <a:solidFill>
                <a:srgbClr val="000000"/>
              </a:solidFill>
              <a:latin typeface="Calibri"/>
              <a:ea typeface="Calibri"/>
              <a:cs typeface="Calibri"/>
            </a:rPr>
            <a:t>Low priority tickets make up the largest share of tota</a:t>
          </a:r>
          <a:r>
            <a:rPr lang="en-NG" sz="800" b="0" i="0" baseline="0">
              <a:effectLst/>
              <a:latin typeface="+mn-lt"/>
              <a:ea typeface="+mn-ea"/>
              <a:cs typeface="+mn-cs"/>
            </a:rPr>
            <a:t>l tickets</a:t>
          </a:r>
          <a:r>
            <a:rPr lang="en-NG" sz="1000" b="0" i="0" baseline="0">
              <a:effectLst/>
              <a:latin typeface="+mn-lt"/>
              <a:ea typeface="+mn-ea"/>
              <a:cs typeface="+mn-cs"/>
            </a:rPr>
            <a:t>.</a:t>
          </a:r>
          <a:endParaRPr lang="en-NG" sz="800">
            <a:effectLst/>
          </a:endParaRPr>
        </a:p>
        <a:p>
          <a:pPr marL="0" marR="0" lvl="0" indent="0" algn="l" defTabSz="914400" rtl="0" eaLnBrk="1" fontAlgn="auto" latinLnBrk="0" hangingPunct="1">
            <a:lnSpc>
              <a:spcPct val="100000"/>
            </a:lnSpc>
            <a:spcBef>
              <a:spcPts val="0"/>
            </a:spcBef>
            <a:spcAft>
              <a:spcPts val="0"/>
            </a:spcAft>
            <a:buClrTx/>
            <a:buSzTx/>
            <a:buFontTx/>
            <a:buNone/>
            <a:tabLst/>
            <a:defRPr sz="1000"/>
          </a:pPr>
          <a:r>
            <a:rPr lang="en-US" sz="800" b="0" i="0" u="none" strike="noStrike" baseline="0">
              <a:solidFill>
                <a:srgbClr val="000000"/>
              </a:solidFill>
              <a:latin typeface="Calibri"/>
              <a:ea typeface="Calibri"/>
              <a:cs typeface="Calibri"/>
            </a:rPr>
            <a:t>.</a:t>
          </a:r>
          <a:r>
            <a:rPr lang="en-US" sz="800" b="0"/>
            <a:t>Service Delay and Account Issues are also frequent customer concerns</a:t>
          </a:r>
          <a:r>
            <a:rPr lang="en-US" sz="800" b="1"/>
            <a:t>.</a:t>
          </a:r>
          <a:endParaRPr lang="en-US" sz="800"/>
        </a:p>
        <a:p>
          <a:pPr algn="l" rtl="0">
            <a:defRPr sz="1000"/>
          </a:pPr>
          <a:endParaRPr lang="en-NG" sz="800" b="0" i="0" u="none" strike="noStrike" baseline="0">
            <a:solidFill>
              <a:srgbClr val="000000"/>
            </a:solidFill>
            <a:latin typeface="Calibri"/>
            <a:ea typeface="Calibri"/>
            <a:cs typeface="Calibri"/>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bra Circle" refreshedDate="46103.202408101854" createdVersion="8" refreshedVersion="8" minRefreshableVersion="3" recordCount="122" xr:uid="{6437433C-FE2D-4480-AE0B-AE4F932421C6}">
  <cacheSource type="worksheet">
    <worksheetSource name="Table1"/>
  </cacheSource>
  <cacheFields count="10">
    <cacheField name="Ticket_ID" numFmtId="0">
      <sharedItems/>
    </cacheField>
    <cacheField name="Customer_ID" numFmtId="0">
      <sharedItems count="41">
        <s v="C128"/>
        <s v="C110"/>
        <s v="C121"/>
        <s v="C134"/>
        <s v="C138"/>
        <s v="C113"/>
        <s v="C101"/>
        <s v="C124"/>
        <s v="C112"/>
        <s v="C131"/>
        <s v="C117"/>
        <s v="C136"/>
        <s v="C104"/>
        <s v="C122"/>
        <s v="C125"/>
        <s v="C132"/>
        <s v="C116"/>
        <s v="C139"/>
        <s v="C106"/>
        <s v="C135"/>
        <s v="C137"/>
        <s v="C100"/>
        <s v="C105"/>
        <s v="C140"/>
        <s v="C108"/>
        <s v="C126"/>
        <s v="C102"/>
        <s v="C111"/>
        <s v="C114"/>
        <s v="C115"/>
        <s v="C118"/>
        <s v="C103"/>
        <s v="C120"/>
        <s v="C107"/>
        <s v="C109"/>
        <s v="C119"/>
        <s v="C129"/>
        <s v="C130"/>
        <s v="C133"/>
        <s v="C150"/>
        <s v="C151"/>
      </sharedItems>
    </cacheField>
    <cacheField name="Issue_Type" numFmtId="0">
      <sharedItems count="9">
        <s v="Payment Issue"/>
        <s v="Service Delay"/>
        <s v="Locked Account"/>
        <s v="Refund Request"/>
        <s v="Bug Report"/>
        <s v="Login Problem"/>
        <s v="Billing Problem"/>
        <s v="Unknown"/>
        <s v="Login Issue" u="1"/>
      </sharedItems>
    </cacheField>
    <cacheField name="Priority" numFmtId="0">
      <sharedItems count="5">
        <s v="Medium"/>
        <s v="High"/>
        <s v="Low"/>
        <s v="Critical"/>
        <s v="Unknown"/>
      </sharedItems>
    </cacheField>
    <cacheField name="Department" numFmtId="0">
      <sharedItems count="3">
        <s v="Technical"/>
        <s v="Billing"/>
        <s v="Customer Support"/>
      </sharedItems>
    </cacheField>
    <cacheField name="Support_Agent" numFmtId="0">
      <sharedItems count="6">
        <s v="John"/>
        <s v="Grace"/>
        <s v="David"/>
        <s v="Fatima"/>
        <s v="Musa"/>
        <s v="Sarah"/>
      </sharedItems>
    </cacheField>
    <cacheField name="Date_Open" numFmtId="14">
      <sharedItems containsSemiMixedTypes="0" containsNonDate="0" containsDate="1" containsString="0" minDate="2026-03-01T00:00:00" maxDate="2026-03-16T00:00:00"/>
    </cacheField>
    <cacheField name="Date_Closed" numFmtId="14">
      <sharedItems containsSemiMixedTypes="0" containsNonDate="0" containsDate="1" containsString="0" minDate="2026-03-01T00:00:00" maxDate="2026-03-18T00:00:00"/>
    </cacheField>
    <cacheField name="Resolution_Time_Hours" numFmtId="0">
      <sharedItems containsString="0" containsBlank="1" containsNumber="1" containsInteger="1" minValue="2" maxValue="72"/>
    </cacheField>
    <cacheField name="Status" numFmtId="0">
      <sharedItems count="3">
        <s v="Resolved"/>
        <s v="Open"/>
        <s v="Closed"/>
      </sharedItems>
    </cacheField>
  </cacheFields>
  <extLst>
    <ext xmlns:x14="http://schemas.microsoft.com/office/spreadsheetml/2009/9/main" uri="{725AE2AE-9491-48be-B2B4-4EB974FC3084}">
      <x14:pivotCacheDefinition pivotCacheId="16246884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s v="T001"/>
    <x v="0"/>
    <x v="0"/>
    <x v="0"/>
    <x v="0"/>
    <x v="0"/>
    <d v="2026-03-09T00:00:00"/>
    <d v="2026-03-11T00:00:00"/>
    <n v="30"/>
    <x v="0"/>
  </r>
  <r>
    <s v="T002"/>
    <x v="1"/>
    <x v="1"/>
    <x v="0"/>
    <x v="0"/>
    <x v="1"/>
    <d v="2026-03-14T00:00:00"/>
    <d v="2026-03-16T00:00:00"/>
    <n v="56"/>
    <x v="0"/>
  </r>
  <r>
    <s v="T003"/>
    <x v="2"/>
    <x v="2"/>
    <x v="1"/>
    <x v="1"/>
    <x v="1"/>
    <d v="2026-03-05T00:00:00"/>
    <d v="2026-03-06T00:00:00"/>
    <n v="54"/>
    <x v="0"/>
  </r>
  <r>
    <s v="T004"/>
    <x v="3"/>
    <x v="0"/>
    <x v="2"/>
    <x v="1"/>
    <x v="0"/>
    <d v="2026-03-11T00:00:00"/>
    <d v="2026-03-11T00:00:00"/>
    <n v="65"/>
    <x v="1"/>
  </r>
  <r>
    <s v="T005"/>
    <x v="4"/>
    <x v="1"/>
    <x v="1"/>
    <x v="0"/>
    <x v="0"/>
    <d v="2026-03-11T00:00:00"/>
    <d v="2026-03-11T00:00:00"/>
    <n v="45"/>
    <x v="0"/>
  </r>
  <r>
    <s v="T006"/>
    <x v="5"/>
    <x v="3"/>
    <x v="3"/>
    <x v="1"/>
    <x v="1"/>
    <d v="2026-03-04T00:00:00"/>
    <d v="2026-03-04T00:00:00"/>
    <n v="30"/>
    <x v="0"/>
  </r>
  <r>
    <s v="T007"/>
    <x v="1"/>
    <x v="4"/>
    <x v="0"/>
    <x v="2"/>
    <x v="1"/>
    <d v="2026-03-02T00:00:00"/>
    <d v="2026-03-03T00:00:00"/>
    <n v="31"/>
    <x v="0"/>
  </r>
  <r>
    <s v="T008"/>
    <x v="6"/>
    <x v="1"/>
    <x v="0"/>
    <x v="1"/>
    <x v="2"/>
    <d v="2026-03-12T00:00:00"/>
    <d v="2026-03-14T00:00:00"/>
    <n v="24"/>
    <x v="0"/>
  </r>
  <r>
    <s v="T009"/>
    <x v="7"/>
    <x v="2"/>
    <x v="3"/>
    <x v="0"/>
    <x v="3"/>
    <d v="2026-03-05T00:00:00"/>
    <d v="2026-03-07T00:00:00"/>
    <n v="14"/>
    <x v="1"/>
  </r>
  <r>
    <s v="T010"/>
    <x v="8"/>
    <x v="5"/>
    <x v="2"/>
    <x v="0"/>
    <x v="4"/>
    <d v="2026-03-04T00:00:00"/>
    <d v="2026-03-05T00:00:00"/>
    <n v="36"/>
    <x v="0"/>
  </r>
  <r>
    <s v="T011"/>
    <x v="9"/>
    <x v="0"/>
    <x v="2"/>
    <x v="1"/>
    <x v="0"/>
    <d v="2026-03-14T00:00:00"/>
    <d v="2026-03-16T00:00:00"/>
    <n v="39"/>
    <x v="0"/>
  </r>
  <r>
    <s v="T012"/>
    <x v="10"/>
    <x v="4"/>
    <x v="3"/>
    <x v="1"/>
    <x v="2"/>
    <d v="2026-03-03T00:00:00"/>
    <d v="2026-03-05T00:00:00"/>
    <m/>
    <x v="0"/>
  </r>
  <r>
    <s v="T013"/>
    <x v="11"/>
    <x v="3"/>
    <x v="1"/>
    <x v="2"/>
    <x v="1"/>
    <d v="2026-03-07T00:00:00"/>
    <d v="2026-03-08T00:00:00"/>
    <n v="44"/>
    <x v="0"/>
  </r>
  <r>
    <s v="T014"/>
    <x v="12"/>
    <x v="1"/>
    <x v="2"/>
    <x v="1"/>
    <x v="3"/>
    <d v="2026-03-06T00:00:00"/>
    <d v="2026-03-06T00:00:00"/>
    <n v="56"/>
    <x v="0"/>
  </r>
  <r>
    <s v="T015"/>
    <x v="13"/>
    <x v="2"/>
    <x v="1"/>
    <x v="0"/>
    <x v="1"/>
    <d v="2026-03-13T00:00:00"/>
    <d v="2026-03-13T00:00:00"/>
    <m/>
    <x v="2"/>
  </r>
  <r>
    <s v="T016"/>
    <x v="6"/>
    <x v="0"/>
    <x v="0"/>
    <x v="0"/>
    <x v="4"/>
    <d v="2026-03-06T00:00:00"/>
    <d v="2026-03-06T00:00:00"/>
    <n v="27"/>
    <x v="0"/>
  </r>
  <r>
    <s v="T017"/>
    <x v="6"/>
    <x v="1"/>
    <x v="0"/>
    <x v="2"/>
    <x v="0"/>
    <d v="2026-03-02T00:00:00"/>
    <d v="2026-03-04T00:00:00"/>
    <n v="30"/>
    <x v="0"/>
  </r>
  <r>
    <s v="T018"/>
    <x v="14"/>
    <x v="6"/>
    <x v="2"/>
    <x v="0"/>
    <x v="0"/>
    <d v="2026-03-10T00:00:00"/>
    <d v="2026-03-11T00:00:00"/>
    <n v="71"/>
    <x v="1"/>
  </r>
  <r>
    <s v="T019"/>
    <x v="15"/>
    <x v="5"/>
    <x v="3"/>
    <x v="2"/>
    <x v="3"/>
    <d v="2026-03-10T00:00:00"/>
    <d v="2026-03-12T00:00:00"/>
    <n v="63"/>
    <x v="0"/>
  </r>
  <r>
    <s v="T020"/>
    <x v="16"/>
    <x v="4"/>
    <x v="3"/>
    <x v="2"/>
    <x v="3"/>
    <d v="2026-03-04T00:00:00"/>
    <d v="2026-03-06T00:00:00"/>
    <n v="55"/>
    <x v="0"/>
  </r>
  <r>
    <s v="T021"/>
    <x v="17"/>
    <x v="4"/>
    <x v="0"/>
    <x v="2"/>
    <x v="3"/>
    <d v="2026-03-06T00:00:00"/>
    <d v="2026-03-07T00:00:00"/>
    <n v="3"/>
    <x v="2"/>
  </r>
  <r>
    <s v="T022"/>
    <x v="18"/>
    <x v="0"/>
    <x v="0"/>
    <x v="1"/>
    <x v="2"/>
    <d v="2026-03-05T00:00:00"/>
    <d v="2026-03-06T00:00:00"/>
    <n v="42"/>
    <x v="0"/>
  </r>
  <r>
    <s v="T023"/>
    <x v="19"/>
    <x v="4"/>
    <x v="0"/>
    <x v="2"/>
    <x v="5"/>
    <d v="2026-03-06T00:00:00"/>
    <d v="2026-03-07T00:00:00"/>
    <n v="35"/>
    <x v="1"/>
  </r>
  <r>
    <s v="T024"/>
    <x v="20"/>
    <x v="4"/>
    <x v="3"/>
    <x v="2"/>
    <x v="2"/>
    <d v="2026-03-13T00:00:00"/>
    <d v="2026-03-14T00:00:00"/>
    <n v="47"/>
    <x v="0"/>
  </r>
  <r>
    <s v="T025"/>
    <x v="4"/>
    <x v="3"/>
    <x v="3"/>
    <x v="1"/>
    <x v="4"/>
    <d v="2026-03-10T00:00:00"/>
    <d v="2026-03-11T00:00:00"/>
    <n v="17"/>
    <x v="2"/>
  </r>
  <r>
    <s v="T026"/>
    <x v="13"/>
    <x v="2"/>
    <x v="2"/>
    <x v="2"/>
    <x v="4"/>
    <d v="2026-03-03T00:00:00"/>
    <d v="2026-03-04T00:00:00"/>
    <m/>
    <x v="1"/>
  </r>
  <r>
    <s v="T027"/>
    <x v="13"/>
    <x v="4"/>
    <x v="0"/>
    <x v="0"/>
    <x v="2"/>
    <d v="2026-03-13T00:00:00"/>
    <d v="2026-03-15T00:00:00"/>
    <n v="18"/>
    <x v="2"/>
  </r>
  <r>
    <s v="T028"/>
    <x v="20"/>
    <x v="5"/>
    <x v="2"/>
    <x v="0"/>
    <x v="1"/>
    <d v="2026-03-01T00:00:00"/>
    <d v="2026-03-01T00:00:00"/>
    <n v="50"/>
    <x v="1"/>
  </r>
  <r>
    <s v="T029"/>
    <x v="16"/>
    <x v="5"/>
    <x v="1"/>
    <x v="2"/>
    <x v="1"/>
    <d v="2026-03-11T00:00:00"/>
    <d v="2026-03-11T00:00:00"/>
    <m/>
    <x v="2"/>
  </r>
  <r>
    <s v="T030"/>
    <x v="2"/>
    <x v="1"/>
    <x v="3"/>
    <x v="0"/>
    <x v="5"/>
    <d v="2026-03-15T00:00:00"/>
    <d v="2026-03-16T00:00:00"/>
    <n v="15"/>
    <x v="0"/>
  </r>
  <r>
    <s v="T031"/>
    <x v="20"/>
    <x v="2"/>
    <x v="2"/>
    <x v="1"/>
    <x v="2"/>
    <d v="2026-03-11T00:00:00"/>
    <d v="2026-03-11T00:00:00"/>
    <n v="61"/>
    <x v="1"/>
  </r>
  <r>
    <s v="T032"/>
    <x v="9"/>
    <x v="2"/>
    <x v="2"/>
    <x v="0"/>
    <x v="2"/>
    <d v="2026-03-04T00:00:00"/>
    <d v="2026-03-05T00:00:00"/>
    <n v="21"/>
    <x v="0"/>
  </r>
  <r>
    <s v="T033"/>
    <x v="8"/>
    <x v="1"/>
    <x v="1"/>
    <x v="1"/>
    <x v="4"/>
    <d v="2026-03-01T00:00:00"/>
    <d v="2026-03-03T00:00:00"/>
    <n v="55"/>
    <x v="1"/>
  </r>
  <r>
    <s v="T034"/>
    <x v="7"/>
    <x v="2"/>
    <x v="0"/>
    <x v="0"/>
    <x v="1"/>
    <d v="2026-03-09T00:00:00"/>
    <d v="2026-03-09T00:00:00"/>
    <n v="10"/>
    <x v="1"/>
  </r>
  <r>
    <s v="T035"/>
    <x v="17"/>
    <x v="4"/>
    <x v="2"/>
    <x v="1"/>
    <x v="5"/>
    <d v="2026-03-07T00:00:00"/>
    <d v="2026-03-07T00:00:00"/>
    <n v="60"/>
    <x v="0"/>
  </r>
  <r>
    <s v="T036"/>
    <x v="3"/>
    <x v="4"/>
    <x v="3"/>
    <x v="1"/>
    <x v="0"/>
    <d v="2026-03-08T00:00:00"/>
    <d v="2026-03-10T00:00:00"/>
    <n v="13"/>
    <x v="2"/>
  </r>
  <r>
    <s v="T037"/>
    <x v="20"/>
    <x v="3"/>
    <x v="0"/>
    <x v="1"/>
    <x v="1"/>
    <d v="2026-03-05T00:00:00"/>
    <d v="2026-03-05T00:00:00"/>
    <m/>
    <x v="1"/>
  </r>
  <r>
    <s v="T038"/>
    <x v="21"/>
    <x v="0"/>
    <x v="1"/>
    <x v="1"/>
    <x v="2"/>
    <d v="2026-03-15T00:00:00"/>
    <d v="2026-03-15T00:00:00"/>
    <n v="11"/>
    <x v="1"/>
  </r>
  <r>
    <s v="T039"/>
    <x v="18"/>
    <x v="2"/>
    <x v="1"/>
    <x v="0"/>
    <x v="1"/>
    <d v="2026-03-06T00:00:00"/>
    <d v="2026-03-08T00:00:00"/>
    <n v="52"/>
    <x v="1"/>
  </r>
  <r>
    <s v="T040"/>
    <x v="22"/>
    <x v="3"/>
    <x v="0"/>
    <x v="2"/>
    <x v="4"/>
    <d v="2026-03-08T00:00:00"/>
    <d v="2026-03-09T00:00:00"/>
    <n v="63"/>
    <x v="0"/>
  </r>
  <r>
    <s v="T041"/>
    <x v="23"/>
    <x v="1"/>
    <x v="2"/>
    <x v="0"/>
    <x v="1"/>
    <d v="2026-03-15T00:00:00"/>
    <d v="2026-03-16T00:00:00"/>
    <n v="22"/>
    <x v="0"/>
  </r>
  <r>
    <s v="T042"/>
    <x v="10"/>
    <x v="5"/>
    <x v="2"/>
    <x v="1"/>
    <x v="3"/>
    <d v="2026-03-03T00:00:00"/>
    <d v="2026-03-05T00:00:00"/>
    <n v="37"/>
    <x v="1"/>
  </r>
  <r>
    <s v="T043"/>
    <x v="9"/>
    <x v="1"/>
    <x v="1"/>
    <x v="0"/>
    <x v="1"/>
    <d v="2026-03-11T00:00:00"/>
    <d v="2026-03-11T00:00:00"/>
    <n v="8"/>
    <x v="2"/>
  </r>
  <r>
    <s v="T044"/>
    <x v="24"/>
    <x v="4"/>
    <x v="3"/>
    <x v="1"/>
    <x v="0"/>
    <d v="2026-03-02T00:00:00"/>
    <d v="2026-03-03T00:00:00"/>
    <n v="25"/>
    <x v="2"/>
  </r>
  <r>
    <s v="T045"/>
    <x v="25"/>
    <x v="4"/>
    <x v="1"/>
    <x v="0"/>
    <x v="2"/>
    <d v="2026-03-15T00:00:00"/>
    <d v="2026-03-16T00:00:00"/>
    <n v="32"/>
    <x v="1"/>
  </r>
  <r>
    <s v="T046"/>
    <x v="26"/>
    <x v="2"/>
    <x v="0"/>
    <x v="1"/>
    <x v="0"/>
    <d v="2026-03-14T00:00:00"/>
    <d v="2026-03-14T00:00:00"/>
    <n v="26"/>
    <x v="0"/>
  </r>
  <r>
    <s v="T047"/>
    <x v="27"/>
    <x v="2"/>
    <x v="2"/>
    <x v="0"/>
    <x v="3"/>
    <d v="2026-03-12T00:00:00"/>
    <d v="2026-03-13T00:00:00"/>
    <n v="38"/>
    <x v="0"/>
  </r>
  <r>
    <s v="T048"/>
    <x v="28"/>
    <x v="4"/>
    <x v="2"/>
    <x v="1"/>
    <x v="5"/>
    <d v="2026-03-10T00:00:00"/>
    <d v="2026-03-12T00:00:00"/>
    <n v="16"/>
    <x v="0"/>
  </r>
  <r>
    <s v="T049"/>
    <x v="26"/>
    <x v="4"/>
    <x v="2"/>
    <x v="2"/>
    <x v="2"/>
    <d v="2026-03-03T00:00:00"/>
    <d v="2026-03-03T00:00:00"/>
    <n v="51"/>
    <x v="0"/>
  </r>
  <r>
    <s v="T050"/>
    <x v="10"/>
    <x v="2"/>
    <x v="1"/>
    <x v="2"/>
    <x v="2"/>
    <d v="2026-03-01T00:00:00"/>
    <d v="2026-03-01T00:00:00"/>
    <n v="32"/>
    <x v="0"/>
  </r>
  <r>
    <s v="T051"/>
    <x v="4"/>
    <x v="1"/>
    <x v="0"/>
    <x v="1"/>
    <x v="4"/>
    <d v="2026-03-08T00:00:00"/>
    <d v="2026-03-08T00:00:00"/>
    <n v="6"/>
    <x v="2"/>
  </r>
  <r>
    <s v="T052"/>
    <x v="27"/>
    <x v="4"/>
    <x v="2"/>
    <x v="0"/>
    <x v="0"/>
    <d v="2026-03-13T00:00:00"/>
    <d v="2026-03-15T00:00:00"/>
    <n v="34"/>
    <x v="2"/>
  </r>
  <r>
    <s v="T053"/>
    <x v="18"/>
    <x v="2"/>
    <x v="2"/>
    <x v="0"/>
    <x v="2"/>
    <d v="2026-03-01T00:00:00"/>
    <d v="2026-03-02T00:00:00"/>
    <n v="19"/>
    <x v="1"/>
  </r>
  <r>
    <s v="T054"/>
    <x v="11"/>
    <x v="4"/>
    <x v="1"/>
    <x v="1"/>
    <x v="0"/>
    <d v="2026-03-05T00:00:00"/>
    <d v="2026-03-05T00:00:00"/>
    <n v="62"/>
    <x v="0"/>
  </r>
  <r>
    <s v="T055"/>
    <x v="29"/>
    <x v="2"/>
    <x v="2"/>
    <x v="2"/>
    <x v="4"/>
    <d v="2026-03-04T00:00:00"/>
    <d v="2026-03-05T00:00:00"/>
    <n v="16"/>
    <x v="0"/>
  </r>
  <r>
    <s v="T056"/>
    <x v="20"/>
    <x v="4"/>
    <x v="2"/>
    <x v="2"/>
    <x v="5"/>
    <d v="2026-03-03T00:00:00"/>
    <d v="2026-03-05T00:00:00"/>
    <n v="72"/>
    <x v="1"/>
  </r>
  <r>
    <s v="T057"/>
    <x v="13"/>
    <x v="5"/>
    <x v="2"/>
    <x v="2"/>
    <x v="2"/>
    <d v="2026-03-06T00:00:00"/>
    <d v="2026-03-08T00:00:00"/>
    <n v="12"/>
    <x v="0"/>
  </r>
  <r>
    <s v="T058"/>
    <x v="29"/>
    <x v="2"/>
    <x v="0"/>
    <x v="1"/>
    <x v="5"/>
    <d v="2026-03-09T00:00:00"/>
    <d v="2026-03-10T00:00:00"/>
    <n v="12"/>
    <x v="1"/>
  </r>
  <r>
    <s v="T059"/>
    <x v="25"/>
    <x v="1"/>
    <x v="3"/>
    <x v="1"/>
    <x v="1"/>
    <d v="2026-03-08T00:00:00"/>
    <d v="2026-03-09T00:00:00"/>
    <n v="62"/>
    <x v="0"/>
  </r>
  <r>
    <s v="T060"/>
    <x v="21"/>
    <x v="1"/>
    <x v="0"/>
    <x v="2"/>
    <x v="0"/>
    <d v="2026-03-05T00:00:00"/>
    <d v="2026-03-05T00:00:00"/>
    <n v="36"/>
    <x v="1"/>
  </r>
  <r>
    <s v="T061"/>
    <x v="30"/>
    <x v="3"/>
    <x v="3"/>
    <x v="1"/>
    <x v="5"/>
    <d v="2026-03-08T00:00:00"/>
    <d v="2026-03-08T00:00:00"/>
    <n v="15"/>
    <x v="0"/>
  </r>
  <r>
    <s v="T062"/>
    <x v="4"/>
    <x v="4"/>
    <x v="0"/>
    <x v="2"/>
    <x v="3"/>
    <d v="2026-03-14T00:00:00"/>
    <d v="2026-03-17T00:00:00"/>
    <n v="51"/>
    <x v="0"/>
  </r>
  <r>
    <s v="T063"/>
    <x v="18"/>
    <x v="3"/>
    <x v="3"/>
    <x v="1"/>
    <x v="0"/>
    <d v="2026-03-03T00:00:00"/>
    <d v="2026-03-03T00:00:00"/>
    <n v="37"/>
    <x v="0"/>
  </r>
  <r>
    <s v="T064"/>
    <x v="5"/>
    <x v="0"/>
    <x v="0"/>
    <x v="2"/>
    <x v="1"/>
    <d v="2026-03-09T00:00:00"/>
    <d v="2026-03-09T00:00:00"/>
    <n v="45"/>
    <x v="1"/>
  </r>
  <r>
    <s v="T065"/>
    <x v="31"/>
    <x v="2"/>
    <x v="2"/>
    <x v="2"/>
    <x v="2"/>
    <d v="2026-03-07T00:00:00"/>
    <d v="2026-03-07T00:00:00"/>
    <n v="12"/>
    <x v="0"/>
  </r>
  <r>
    <s v="T066"/>
    <x v="18"/>
    <x v="1"/>
    <x v="0"/>
    <x v="0"/>
    <x v="2"/>
    <d v="2026-03-01T00:00:00"/>
    <d v="2026-03-03T00:00:00"/>
    <n v="38"/>
    <x v="0"/>
  </r>
  <r>
    <s v="T067"/>
    <x v="25"/>
    <x v="4"/>
    <x v="1"/>
    <x v="1"/>
    <x v="5"/>
    <d v="2026-03-11T00:00:00"/>
    <d v="2026-03-13T00:00:00"/>
    <n v="67"/>
    <x v="1"/>
  </r>
  <r>
    <s v="T068"/>
    <x v="16"/>
    <x v="5"/>
    <x v="3"/>
    <x v="0"/>
    <x v="1"/>
    <d v="2026-03-07T00:00:00"/>
    <d v="2026-03-07T00:00:00"/>
    <n v="22"/>
    <x v="0"/>
  </r>
  <r>
    <s v="T069"/>
    <x v="11"/>
    <x v="1"/>
    <x v="2"/>
    <x v="0"/>
    <x v="2"/>
    <d v="2026-03-15T00:00:00"/>
    <d v="2026-03-17T00:00:00"/>
    <n v="15"/>
    <x v="1"/>
  </r>
  <r>
    <s v="T070"/>
    <x v="17"/>
    <x v="6"/>
    <x v="1"/>
    <x v="1"/>
    <x v="1"/>
    <d v="2026-03-02T00:00:00"/>
    <d v="2026-03-03T00:00:00"/>
    <n v="45"/>
    <x v="0"/>
  </r>
  <r>
    <s v="T071"/>
    <x v="12"/>
    <x v="4"/>
    <x v="2"/>
    <x v="1"/>
    <x v="0"/>
    <d v="2026-03-01T00:00:00"/>
    <d v="2026-03-03T00:00:00"/>
    <n v="5"/>
    <x v="0"/>
  </r>
  <r>
    <s v="T072"/>
    <x v="26"/>
    <x v="2"/>
    <x v="1"/>
    <x v="0"/>
    <x v="5"/>
    <d v="2026-03-03T00:00:00"/>
    <d v="2026-03-05T00:00:00"/>
    <n v="20"/>
    <x v="0"/>
  </r>
  <r>
    <s v="T073"/>
    <x v="8"/>
    <x v="2"/>
    <x v="1"/>
    <x v="1"/>
    <x v="5"/>
    <d v="2026-03-08T00:00:00"/>
    <d v="2026-03-10T00:00:00"/>
    <m/>
    <x v="1"/>
  </r>
  <r>
    <s v="T074"/>
    <x v="7"/>
    <x v="0"/>
    <x v="3"/>
    <x v="1"/>
    <x v="3"/>
    <d v="2026-03-13T00:00:00"/>
    <d v="2026-03-13T00:00:00"/>
    <n v="2"/>
    <x v="0"/>
  </r>
  <r>
    <s v="T075"/>
    <x v="32"/>
    <x v="4"/>
    <x v="1"/>
    <x v="1"/>
    <x v="2"/>
    <d v="2026-03-03T00:00:00"/>
    <d v="2026-03-05T00:00:00"/>
    <n v="39"/>
    <x v="2"/>
  </r>
  <r>
    <s v="T076"/>
    <x v="17"/>
    <x v="0"/>
    <x v="1"/>
    <x v="2"/>
    <x v="5"/>
    <d v="2026-03-08T00:00:00"/>
    <d v="2026-03-08T00:00:00"/>
    <n v="16"/>
    <x v="2"/>
  </r>
  <r>
    <s v="T077"/>
    <x v="3"/>
    <x v="4"/>
    <x v="2"/>
    <x v="0"/>
    <x v="3"/>
    <d v="2026-03-15T00:00:00"/>
    <d v="2026-03-15T00:00:00"/>
    <n v="54"/>
    <x v="0"/>
  </r>
  <r>
    <s v="T078"/>
    <x v="33"/>
    <x v="3"/>
    <x v="1"/>
    <x v="2"/>
    <x v="2"/>
    <d v="2026-03-13T00:00:00"/>
    <d v="2026-03-13T00:00:00"/>
    <n v="2"/>
    <x v="0"/>
  </r>
  <r>
    <s v="T079"/>
    <x v="15"/>
    <x v="3"/>
    <x v="2"/>
    <x v="1"/>
    <x v="3"/>
    <d v="2026-03-08T00:00:00"/>
    <d v="2026-03-08T00:00:00"/>
    <n v="21"/>
    <x v="1"/>
  </r>
  <r>
    <s v="T080"/>
    <x v="13"/>
    <x v="0"/>
    <x v="0"/>
    <x v="0"/>
    <x v="1"/>
    <d v="2026-03-11T00:00:00"/>
    <d v="2026-03-13T00:00:00"/>
    <n v="25"/>
    <x v="0"/>
  </r>
  <r>
    <s v="T081"/>
    <x v="9"/>
    <x v="1"/>
    <x v="3"/>
    <x v="2"/>
    <x v="1"/>
    <d v="2026-03-03T00:00:00"/>
    <d v="2026-03-05T00:00:00"/>
    <n v="21"/>
    <x v="0"/>
  </r>
  <r>
    <s v="T082"/>
    <x v="10"/>
    <x v="1"/>
    <x v="2"/>
    <x v="0"/>
    <x v="4"/>
    <d v="2026-03-06T00:00:00"/>
    <d v="2026-03-07T00:00:00"/>
    <n v="56"/>
    <x v="0"/>
  </r>
  <r>
    <s v="T083"/>
    <x v="34"/>
    <x v="1"/>
    <x v="2"/>
    <x v="1"/>
    <x v="4"/>
    <d v="2026-03-12T00:00:00"/>
    <d v="2026-03-14T00:00:00"/>
    <n v="28"/>
    <x v="0"/>
  </r>
  <r>
    <s v="T084"/>
    <x v="9"/>
    <x v="4"/>
    <x v="0"/>
    <x v="1"/>
    <x v="5"/>
    <d v="2026-03-05T00:00:00"/>
    <d v="2026-03-06T00:00:00"/>
    <n v="9"/>
    <x v="0"/>
  </r>
  <r>
    <s v="T085"/>
    <x v="13"/>
    <x v="1"/>
    <x v="0"/>
    <x v="2"/>
    <x v="0"/>
    <d v="2026-03-11T00:00:00"/>
    <d v="2026-03-12T00:00:00"/>
    <n v="6"/>
    <x v="2"/>
  </r>
  <r>
    <s v="T086"/>
    <x v="13"/>
    <x v="1"/>
    <x v="3"/>
    <x v="0"/>
    <x v="0"/>
    <d v="2026-03-12T00:00:00"/>
    <d v="2026-03-13T00:00:00"/>
    <n v="69"/>
    <x v="0"/>
  </r>
  <r>
    <s v="T087"/>
    <x v="7"/>
    <x v="4"/>
    <x v="2"/>
    <x v="2"/>
    <x v="0"/>
    <d v="2026-03-06T00:00:00"/>
    <d v="2026-03-08T00:00:00"/>
    <n v="9"/>
    <x v="1"/>
  </r>
  <r>
    <s v="T088"/>
    <x v="18"/>
    <x v="4"/>
    <x v="3"/>
    <x v="1"/>
    <x v="5"/>
    <d v="2026-03-14T00:00:00"/>
    <d v="2026-03-14T00:00:00"/>
    <m/>
    <x v="2"/>
  </r>
  <r>
    <s v="T089"/>
    <x v="35"/>
    <x v="2"/>
    <x v="1"/>
    <x v="0"/>
    <x v="0"/>
    <d v="2026-03-03T00:00:00"/>
    <d v="2026-03-05T00:00:00"/>
    <m/>
    <x v="0"/>
  </r>
  <r>
    <s v="T090"/>
    <x v="24"/>
    <x v="3"/>
    <x v="3"/>
    <x v="1"/>
    <x v="0"/>
    <d v="2026-03-10T00:00:00"/>
    <d v="2026-03-11T00:00:00"/>
    <n v="20"/>
    <x v="1"/>
  </r>
  <r>
    <s v="T091"/>
    <x v="23"/>
    <x v="2"/>
    <x v="3"/>
    <x v="1"/>
    <x v="0"/>
    <d v="2026-03-02T00:00:00"/>
    <d v="2026-03-02T00:00:00"/>
    <n v="8"/>
    <x v="2"/>
  </r>
  <r>
    <s v="T092"/>
    <x v="26"/>
    <x v="4"/>
    <x v="0"/>
    <x v="2"/>
    <x v="4"/>
    <d v="2026-03-12T00:00:00"/>
    <d v="2026-03-12T00:00:00"/>
    <n v="6"/>
    <x v="2"/>
  </r>
  <r>
    <s v="T093"/>
    <x v="29"/>
    <x v="2"/>
    <x v="0"/>
    <x v="0"/>
    <x v="3"/>
    <d v="2026-03-13T00:00:00"/>
    <d v="2026-03-15T00:00:00"/>
    <n v="48"/>
    <x v="1"/>
  </r>
  <r>
    <s v="T094"/>
    <x v="34"/>
    <x v="3"/>
    <x v="1"/>
    <x v="2"/>
    <x v="2"/>
    <d v="2026-03-13T00:00:00"/>
    <d v="2026-03-14T00:00:00"/>
    <n v="60"/>
    <x v="0"/>
  </r>
  <r>
    <s v="T095"/>
    <x v="12"/>
    <x v="1"/>
    <x v="1"/>
    <x v="1"/>
    <x v="5"/>
    <d v="2026-03-08T00:00:00"/>
    <d v="2026-03-09T00:00:00"/>
    <n v="36"/>
    <x v="2"/>
  </r>
  <r>
    <s v="T096"/>
    <x v="36"/>
    <x v="0"/>
    <x v="2"/>
    <x v="1"/>
    <x v="0"/>
    <d v="2026-03-08T00:00:00"/>
    <d v="2026-03-08T00:00:00"/>
    <n v="53"/>
    <x v="2"/>
  </r>
  <r>
    <s v="T097"/>
    <x v="3"/>
    <x v="1"/>
    <x v="1"/>
    <x v="1"/>
    <x v="5"/>
    <d v="2026-03-10T00:00:00"/>
    <d v="2026-03-11T00:00:00"/>
    <m/>
    <x v="1"/>
  </r>
  <r>
    <s v="T098"/>
    <x v="2"/>
    <x v="2"/>
    <x v="1"/>
    <x v="0"/>
    <x v="3"/>
    <d v="2026-03-12T00:00:00"/>
    <d v="2026-03-13T00:00:00"/>
    <n v="31"/>
    <x v="1"/>
  </r>
  <r>
    <s v="T099"/>
    <x v="37"/>
    <x v="4"/>
    <x v="0"/>
    <x v="0"/>
    <x v="0"/>
    <d v="2026-03-12T00:00:00"/>
    <d v="2026-03-14T00:00:00"/>
    <n v="60"/>
    <x v="1"/>
  </r>
  <r>
    <s v="T100"/>
    <x v="10"/>
    <x v="6"/>
    <x v="3"/>
    <x v="1"/>
    <x v="4"/>
    <d v="2026-03-01T00:00:00"/>
    <d v="2026-03-01T00:00:00"/>
    <n v="39"/>
    <x v="2"/>
  </r>
  <r>
    <s v="T101"/>
    <x v="31"/>
    <x v="3"/>
    <x v="0"/>
    <x v="0"/>
    <x v="0"/>
    <d v="2026-03-12T00:00:00"/>
    <d v="2026-03-13T00:00:00"/>
    <n v="48"/>
    <x v="0"/>
  </r>
  <r>
    <s v="T102"/>
    <x v="7"/>
    <x v="4"/>
    <x v="0"/>
    <x v="2"/>
    <x v="4"/>
    <d v="2026-03-15T00:00:00"/>
    <d v="2026-03-17T00:00:00"/>
    <n v="12"/>
    <x v="1"/>
  </r>
  <r>
    <s v="T103"/>
    <x v="33"/>
    <x v="1"/>
    <x v="1"/>
    <x v="2"/>
    <x v="2"/>
    <d v="2026-03-09T00:00:00"/>
    <d v="2026-03-11T00:00:00"/>
    <n v="64"/>
    <x v="0"/>
  </r>
  <r>
    <s v="T104"/>
    <x v="37"/>
    <x v="1"/>
    <x v="2"/>
    <x v="0"/>
    <x v="2"/>
    <d v="2026-03-15T00:00:00"/>
    <d v="2026-03-15T00:00:00"/>
    <n v="3"/>
    <x v="1"/>
  </r>
  <r>
    <s v="T105"/>
    <x v="32"/>
    <x v="4"/>
    <x v="1"/>
    <x v="2"/>
    <x v="1"/>
    <d v="2026-03-05T00:00:00"/>
    <d v="2026-03-05T00:00:00"/>
    <n v="72"/>
    <x v="0"/>
  </r>
  <r>
    <s v="T106"/>
    <x v="17"/>
    <x v="4"/>
    <x v="2"/>
    <x v="1"/>
    <x v="2"/>
    <d v="2026-03-02T00:00:00"/>
    <d v="2026-03-02T00:00:00"/>
    <n v="22"/>
    <x v="0"/>
  </r>
  <r>
    <s v="T107"/>
    <x v="27"/>
    <x v="5"/>
    <x v="0"/>
    <x v="0"/>
    <x v="0"/>
    <d v="2026-03-05T00:00:00"/>
    <d v="2026-03-07T00:00:00"/>
    <n v="37"/>
    <x v="2"/>
  </r>
  <r>
    <s v="T108"/>
    <x v="17"/>
    <x v="3"/>
    <x v="0"/>
    <x v="2"/>
    <x v="3"/>
    <d v="2026-03-01T00:00:00"/>
    <d v="2026-03-03T00:00:00"/>
    <n v="26"/>
    <x v="0"/>
  </r>
  <r>
    <s v="T109"/>
    <x v="4"/>
    <x v="4"/>
    <x v="3"/>
    <x v="2"/>
    <x v="0"/>
    <d v="2026-03-15T00:00:00"/>
    <d v="2026-03-17T00:00:00"/>
    <n v="38"/>
    <x v="2"/>
  </r>
  <r>
    <s v="T110"/>
    <x v="2"/>
    <x v="2"/>
    <x v="3"/>
    <x v="1"/>
    <x v="3"/>
    <d v="2026-03-03T00:00:00"/>
    <d v="2026-03-05T00:00:00"/>
    <n v="23"/>
    <x v="0"/>
  </r>
  <r>
    <s v="T111"/>
    <x v="13"/>
    <x v="4"/>
    <x v="1"/>
    <x v="1"/>
    <x v="4"/>
    <d v="2026-03-03T00:00:00"/>
    <d v="2026-03-05T00:00:00"/>
    <n v="12"/>
    <x v="0"/>
  </r>
  <r>
    <s v="T112"/>
    <x v="26"/>
    <x v="5"/>
    <x v="0"/>
    <x v="1"/>
    <x v="3"/>
    <d v="2026-03-13T00:00:00"/>
    <d v="2026-03-13T00:00:00"/>
    <n v="60"/>
    <x v="0"/>
  </r>
  <r>
    <s v="T113"/>
    <x v="38"/>
    <x v="5"/>
    <x v="0"/>
    <x v="2"/>
    <x v="4"/>
    <d v="2026-03-03T00:00:00"/>
    <d v="2026-03-05T00:00:00"/>
    <n v="28"/>
    <x v="0"/>
  </r>
  <r>
    <s v="T114"/>
    <x v="11"/>
    <x v="4"/>
    <x v="3"/>
    <x v="2"/>
    <x v="1"/>
    <d v="2026-03-10T00:00:00"/>
    <d v="2026-03-12T00:00:00"/>
    <m/>
    <x v="0"/>
  </r>
  <r>
    <s v="T115"/>
    <x v="18"/>
    <x v="0"/>
    <x v="2"/>
    <x v="2"/>
    <x v="3"/>
    <d v="2026-03-10T00:00:00"/>
    <d v="2026-03-10T00:00:00"/>
    <n v="69"/>
    <x v="0"/>
  </r>
  <r>
    <s v="T116"/>
    <x v="37"/>
    <x v="2"/>
    <x v="1"/>
    <x v="2"/>
    <x v="5"/>
    <d v="2026-03-08T00:00:00"/>
    <d v="2026-03-08T00:00:00"/>
    <n v="69"/>
    <x v="0"/>
  </r>
  <r>
    <s v="T117"/>
    <x v="17"/>
    <x v="3"/>
    <x v="2"/>
    <x v="2"/>
    <x v="1"/>
    <d v="2026-03-14T00:00:00"/>
    <d v="2026-03-15T00:00:00"/>
    <n v="32"/>
    <x v="0"/>
  </r>
  <r>
    <s v="T118"/>
    <x v="24"/>
    <x v="4"/>
    <x v="1"/>
    <x v="2"/>
    <x v="4"/>
    <d v="2026-03-12T00:00:00"/>
    <d v="2026-03-14T00:00:00"/>
    <n v="27"/>
    <x v="1"/>
  </r>
  <r>
    <s v="T119"/>
    <x v="35"/>
    <x v="5"/>
    <x v="1"/>
    <x v="0"/>
    <x v="5"/>
    <d v="2026-03-05T00:00:00"/>
    <d v="2026-03-07T00:00:00"/>
    <n v="11"/>
    <x v="0"/>
  </r>
  <r>
    <s v="T120"/>
    <x v="37"/>
    <x v="1"/>
    <x v="1"/>
    <x v="2"/>
    <x v="2"/>
    <d v="2026-03-11T00:00:00"/>
    <d v="2026-03-13T00:00:00"/>
    <n v="23"/>
    <x v="1"/>
  </r>
  <r>
    <s v="T999"/>
    <x v="39"/>
    <x v="7"/>
    <x v="1"/>
    <x v="0"/>
    <x v="5"/>
    <d v="2026-03-05T00:00:00"/>
    <d v="2026-03-06T00:00:00"/>
    <m/>
    <x v="1"/>
  </r>
  <r>
    <s v="T998"/>
    <x v="40"/>
    <x v="4"/>
    <x v="4"/>
    <x v="1"/>
    <x v="2"/>
    <d v="2026-03-04T00:00:00"/>
    <d v="2026-03-05T00:00:00"/>
    <n v="1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072F45-55A2-416E-B99A-B2D3AD1BB5E5}" name="PivotTable14"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5:F56" firstHeaderRow="1" firstDataRow="1" firstDataCol="0"/>
  <pivotFields count="10">
    <pivotField showAll="0"/>
    <pivotField dataField="1" showAll="0"/>
    <pivotField showAll="0"/>
    <pivotField showAll="0"/>
    <pivotField showAll="0"/>
    <pivotField showAll="0"/>
    <pivotField numFmtId="14" showAll="0"/>
    <pivotField numFmtId="14" showAll="0"/>
    <pivotField showAll="0"/>
    <pivotField showAll="0"/>
  </pivotFields>
  <rowItems count="1">
    <i/>
  </rowItems>
  <colItems count="1">
    <i/>
  </colItems>
  <dataFields count="1">
    <dataField name="Count of Customer_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183ACF-D530-4E69-ADE8-B987B4718445}" name="PivotTable2"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2:C3" firstHeaderRow="1" firstDataRow="1" firstDataCol="0"/>
  <pivotFields count="10">
    <pivotField showAll="0"/>
    <pivotField showAll="0"/>
    <pivotField showAll="0"/>
    <pivotField showAll="0"/>
    <pivotField showAll="0">
      <items count="4">
        <item x="1"/>
        <item x="2"/>
        <item x="0"/>
        <item t="default"/>
      </items>
    </pivotField>
    <pivotField showAll="0"/>
    <pivotField numFmtId="14" showAll="0"/>
    <pivotField numFmtId="14" showAll="0"/>
    <pivotField dataField="1" showAll="0"/>
    <pivotField showAll="0">
      <items count="4">
        <item x="2"/>
        <item x="1"/>
        <item x="0"/>
        <item t="default"/>
      </items>
    </pivotField>
  </pivotFields>
  <rowItems count="1">
    <i/>
  </rowItems>
  <colItems count="1">
    <i/>
  </colItems>
  <dataFields count="1">
    <dataField name="Average of Resolution_Time_Hours" fld="8" subtotal="average" baseField="0" baseItem="0" numFmtId="1"/>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DD381DC-47C9-48B3-A3F9-29B090A92AD5}" name="PivotTable8"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F16" firstHeaderRow="1" firstDataRow="1" firstDataCol="0"/>
  <pivotFields count="10">
    <pivotField showAll="0"/>
    <pivotField showAll="0"/>
    <pivotField showAll="0"/>
    <pivotField showAll="0"/>
    <pivotField dataField="1" showAll="0">
      <items count="4">
        <item x="1"/>
        <item x="2"/>
        <item x="0"/>
        <item t="default"/>
      </items>
    </pivotField>
    <pivotField showAll="0"/>
    <pivotField numFmtId="14" showAll="0"/>
    <pivotField numFmtId="14" showAll="0"/>
    <pivotField showAll="0"/>
    <pivotField showAll="0">
      <items count="4">
        <item x="2"/>
        <item x="1"/>
        <item x="0"/>
        <item t="default"/>
      </items>
    </pivotField>
  </pivotFields>
  <rowItems count="1">
    <i/>
  </rowItems>
  <colItems count="1">
    <i/>
  </colItems>
  <dataFields count="1">
    <dataField name="Count of Department"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1CF441-A022-40CF-A6CC-03AB1283C241}" name="PivotTable13"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5:E49" firstHeaderRow="1" firstDataRow="1" firstDataCol="1"/>
  <pivotFields count="10">
    <pivotField dataField="1" showAll="0"/>
    <pivotField showAll="0"/>
    <pivotField showAll="0"/>
    <pivotField showAll="0"/>
    <pivotField showAll="0"/>
    <pivotField showAll="0"/>
    <pivotField numFmtId="14" showAll="0"/>
    <pivotField numFmtId="14" showAll="0"/>
    <pivotField showAll="0"/>
    <pivotField axis="axisRow" showAll="0">
      <items count="4">
        <item x="2"/>
        <item x="1"/>
        <item x="0"/>
        <item t="default"/>
      </items>
    </pivotField>
  </pivotFields>
  <rowFields count="1">
    <field x="9"/>
  </rowFields>
  <rowItems count="4">
    <i>
      <x/>
    </i>
    <i>
      <x v="1"/>
    </i>
    <i>
      <x v="2"/>
    </i>
    <i t="grand">
      <x/>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40EBC2E-EE7E-41FC-A949-D34DD1E775B5}" name="PivotTable1"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A3" firstHeaderRow="1" firstDataRow="1" firstDataCol="0"/>
  <pivotFields count="10">
    <pivotField dataField="1" showAll="0"/>
    <pivotField showAll="0"/>
    <pivotField showAll="0"/>
    <pivotField showAll="0"/>
    <pivotField showAll="0">
      <items count="4">
        <item x="1"/>
        <item x="2"/>
        <item x="0"/>
        <item t="default"/>
      </items>
    </pivotField>
    <pivotField showAll="0"/>
    <pivotField numFmtId="14" showAll="0"/>
    <pivotField numFmtId="14" showAll="0"/>
    <pivotField showAll="0"/>
    <pivotField showAll="0">
      <items count="4">
        <item x="2"/>
        <item x="1"/>
        <item x="0"/>
        <item t="default"/>
      </items>
    </pivotField>
  </pivotFields>
  <rowItems count="1">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97C7CA-C299-4E74-B933-625DE516F516}" name="PivotTable7"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B26" firstHeaderRow="1" firstDataRow="1" firstDataCol="1"/>
  <pivotFields count="10">
    <pivotField showAll="0"/>
    <pivotField showAll="0"/>
    <pivotField dataField="1" showAll="0"/>
    <pivotField axis="axisRow" showAll="0">
      <items count="6">
        <item x="3"/>
        <item x="1"/>
        <item x="2"/>
        <item x="0"/>
        <item h="1" x="4"/>
        <item t="default"/>
      </items>
    </pivotField>
    <pivotField showAll="0">
      <items count="4">
        <item x="1"/>
        <item x="2"/>
        <item x="0"/>
        <item t="default"/>
      </items>
    </pivotField>
    <pivotField showAll="0"/>
    <pivotField numFmtId="14" showAll="0"/>
    <pivotField numFmtId="14" showAll="0"/>
    <pivotField showAll="0"/>
    <pivotField showAll="0">
      <items count="4">
        <item x="2"/>
        <item x="1"/>
        <item x="0"/>
        <item t="default"/>
      </items>
    </pivotField>
  </pivotFields>
  <rowFields count="1">
    <field x="3"/>
  </rowFields>
  <rowItems count="5">
    <i>
      <x/>
    </i>
    <i>
      <x v="1"/>
    </i>
    <i>
      <x v="2"/>
    </i>
    <i>
      <x v="3"/>
    </i>
    <i t="grand">
      <x/>
    </i>
  </rowItems>
  <colItems count="1">
    <i/>
  </colItems>
  <dataFields count="1">
    <dataField name="Count of Issue_Type" fld="2" subtotal="count" baseField="0" baseItem="0"/>
  </dataFields>
  <formats count="6">
    <format dxfId="6">
      <pivotArea type="all" dataOnly="0" outline="0" fieldPosition="0"/>
    </format>
    <format dxfId="5">
      <pivotArea outline="0" collapsedLevelsAreSubtotals="1" fieldPosition="0"/>
    </format>
    <format dxfId="4">
      <pivotArea field="3" type="button" dataOnly="0" labelOnly="1" outline="0" axis="axisRow" fieldPosition="0"/>
    </format>
    <format dxfId="3">
      <pivotArea dataOnly="0" labelOnly="1" fieldPosition="0">
        <references count="1">
          <reference field="3" count="0"/>
        </references>
      </pivotArea>
    </format>
    <format dxfId="2">
      <pivotArea dataOnly="0" labelOnly="1" grandRow="1" outline="0" fieldPosition="0"/>
    </format>
    <format dxfId="1">
      <pivotArea dataOnly="0" labelOnly="1" outline="0" axis="axisValues" fieldPosition="0"/>
    </format>
  </format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97F0F2-A078-4186-BCD5-E0376061CCD1}" name="PivotTable5"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C12:D19" firstHeaderRow="1" firstDataRow="1" firstDataCol="1"/>
  <pivotFields count="10">
    <pivotField dataField="1" showAll="0"/>
    <pivotField showAll="0"/>
    <pivotField showAll="0"/>
    <pivotField showAll="0"/>
    <pivotField showAll="0">
      <items count="4">
        <item x="1"/>
        <item x="2"/>
        <item x="0"/>
        <item t="default"/>
      </items>
    </pivotField>
    <pivotField axis="axisRow" showAll="0">
      <items count="7">
        <item x="2"/>
        <item x="3"/>
        <item x="1"/>
        <item x="0"/>
        <item x="4"/>
        <item x="5"/>
        <item t="default"/>
      </items>
    </pivotField>
    <pivotField numFmtId="14" showAll="0"/>
    <pivotField numFmtId="14" showAll="0"/>
    <pivotField showAll="0"/>
    <pivotField showAll="0">
      <items count="4">
        <item x="2"/>
        <item x="1"/>
        <item x="0"/>
        <item t="default"/>
      </items>
    </pivotField>
  </pivotFields>
  <rowFields count="1">
    <field x="5"/>
  </rowFields>
  <rowItems count="7">
    <i>
      <x/>
    </i>
    <i>
      <x v="1"/>
    </i>
    <i>
      <x v="2"/>
    </i>
    <i>
      <x v="3"/>
    </i>
    <i>
      <x v="4"/>
    </i>
    <i>
      <x v="5"/>
    </i>
    <i t="grand">
      <x/>
    </i>
  </rowItems>
  <colItems count="1">
    <i/>
  </colItems>
  <dataFields count="1">
    <dataField name="Count of Ticket_ID" fld="0" subtotal="count" baseField="0" baseItem="0"/>
  </dataFields>
  <formats count="6">
    <format dxfId="12">
      <pivotArea type="all" dataOnly="0" outline="0" fieldPosition="0"/>
    </format>
    <format dxfId="11">
      <pivotArea outline="0" collapsedLevelsAreSubtotals="1" fieldPosition="0"/>
    </format>
    <format dxfId="10">
      <pivotArea field="5" type="button" dataOnly="0" labelOnly="1" outline="0" axis="axisRow" fieldPosition="0"/>
    </format>
    <format dxfId="9">
      <pivotArea dataOnly="0" labelOnly="1" fieldPosition="0">
        <references count="1">
          <reference field="5" count="0"/>
        </references>
      </pivotArea>
    </format>
    <format dxfId="8">
      <pivotArea dataOnly="0" labelOnly="1" grandRow="1" outline="0" fieldPosition="0"/>
    </format>
    <format dxfId="7">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613314-122D-43B0-B6FE-D69F297F28B0}" name="PivotTable12"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7:M142" firstHeaderRow="1" firstDataRow="1" firstDataCol="1"/>
  <pivotFields count="10">
    <pivotField dataField="1" showAll="0"/>
    <pivotField axis="axisRow" showAll="0">
      <items count="42">
        <item x="21"/>
        <item x="6"/>
        <item x="26"/>
        <item x="31"/>
        <item x="12"/>
        <item x="22"/>
        <item x="18"/>
        <item x="33"/>
        <item x="24"/>
        <item x="34"/>
        <item x="1"/>
        <item x="27"/>
        <item x="8"/>
        <item x="5"/>
        <item x="28"/>
        <item x="29"/>
        <item x="16"/>
        <item x="10"/>
        <item x="30"/>
        <item x="35"/>
        <item x="32"/>
        <item x="2"/>
        <item x="13"/>
        <item x="7"/>
        <item x="14"/>
        <item x="25"/>
        <item x="0"/>
        <item x="36"/>
        <item x="37"/>
        <item x="9"/>
        <item x="15"/>
        <item x="38"/>
        <item x="3"/>
        <item x="19"/>
        <item x="11"/>
        <item x="20"/>
        <item x="4"/>
        <item x="17"/>
        <item x="23"/>
        <item x="39"/>
        <item x="40"/>
        <item t="default"/>
      </items>
    </pivotField>
    <pivotField axis="axisRow" showAll="0">
      <items count="10">
        <item x="6"/>
        <item x="4"/>
        <item x="2"/>
        <item m="1" x="8"/>
        <item x="5"/>
        <item x="0"/>
        <item x="3"/>
        <item x="1"/>
        <item x="7"/>
        <item t="default"/>
      </items>
    </pivotField>
    <pivotField showAll="0"/>
    <pivotField showAll="0"/>
    <pivotField showAll="0"/>
    <pivotField numFmtId="14" showAll="0"/>
    <pivotField numFmtId="14" showAll="0"/>
    <pivotField showAll="0"/>
    <pivotField showAll="0"/>
  </pivotFields>
  <rowFields count="2">
    <field x="1"/>
    <field x="2"/>
  </rowFields>
  <rowItems count="135">
    <i>
      <x/>
    </i>
    <i r="1">
      <x v="5"/>
    </i>
    <i r="1">
      <x v="7"/>
    </i>
    <i>
      <x v="1"/>
    </i>
    <i r="1">
      <x v="5"/>
    </i>
    <i r="1">
      <x v="7"/>
    </i>
    <i>
      <x v="2"/>
    </i>
    <i r="1">
      <x v="1"/>
    </i>
    <i r="1">
      <x v="2"/>
    </i>
    <i r="1">
      <x v="4"/>
    </i>
    <i>
      <x v="3"/>
    </i>
    <i r="1">
      <x v="2"/>
    </i>
    <i r="1">
      <x v="6"/>
    </i>
    <i>
      <x v="4"/>
    </i>
    <i r="1">
      <x v="1"/>
    </i>
    <i r="1">
      <x v="7"/>
    </i>
    <i>
      <x v="5"/>
    </i>
    <i r="1">
      <x v="6"/>
    </i>
    <i>
      <x v="6"/>
    </i>
    <i r="1">
      <x v="1"/>
    </i>
    <i r="1">
      <x v="2"/>
    </i>
    <i r="1">
      <x v="5"/>
    </i>
    <i r="1">
      <x v="6"/>
    </i>
    <i r="1">
      <x v="7"/>
    </i>
    <i>
      <x v="7"/>
    </i>
    <i r="1">
      <x v="6"/>
    </i>
    <i r="1">
      <x v="7"/>
    </i>
    <i>
      <x v="8"/>
    </i>
    <i r="1">
      <x v="1"/>
    </i>
    <i r="1">
      <x v="6"/>
    </i>
    <i>
      <x v="9"/>
    </i>
    <i r="1">
      <x v="6"/>
    </i>
    <i r="1">
      <x v="7"/>
    </i>
    <i>
      <x v="10"/>
    </i>
    <i r="1">
      <x v="1"/>
    </i>
    <i r="1">
      <x v="7"/>
    </i>
    <i>
      <x v="11"/>
    </i>
    <i r="1">
      <x v="1"/>
    </i>
    <i r="1">
      <x v="2"/>
    </i>
    <i r="1">
      <x v="4"/>
    </i>
    <i>
      <x v="12"/>
    </i>
    <i r="1">
      <x v="2"/>
    </i>
    <i r="1">
      <x v="4"/>
    </i>
    <i r="1">
      <x v="7"/>
    </i>
    <i>
      <x v="13"/>
    </i>
    <i r="1">
      <x v="5"/>
    </i>
    <i r="1">
      <x v="6"/>
    </i>
    <i>
      <x v="14"/>
    </i>
    <i r="1">
      <x v="1"/>
    </i>
    <i>
      <x v="15"/>
    </i>
    <i r="1">
      <x v="2"/>
    </i>
    <i>
      <x v="16"/>
    </i>
    <i r="1">
      <x v="1"/>
    </i>
    <i r="1">
      <x v="4"/>
    </i>
    <i>
      <x v="17"/>
    </i>
    <i r="1">
      <x/>
    </i>
    <i r="1">
      <x v="1"/>
    </i>
    <i r="1">
      <x v="2"/>
    </i>
    <i r="1">
      <x v="4"/>
    </i>
    <i r="1">
      <x v="7"/>
    </i>
    <i>
      <x v="18"/>
    </i>
    <i r="1">
      <x v="6"/>
    </i>
    <i>
      <x v="19"/>
    </i>
    <i r="1">
      <x v="2"/>
    </i>
    <i r="1">
      <x v="4"/>
    </i>
    <i>
      <x v="20"/>
    </i>
    <i r="1">
      <x v="1"/>
    </i>
    <i>
      <x v="21"/>
    </i>
    <i r="1">
      <x v="2"/>
    </i>
    <i r="1">
      <x v="7"/>
    </i>
    <i>
      <x v="22"/>
    </i>
    <i r="1">
      <x v="1"/>
    </i>
    <i r="1">
      <x v="2"/>
    </i>
    <i r="1">
      <x v="4"/>
    </i>
    <i r="1">
      <x v="5"/>
    </i>
    <i r="1">
      <x v="7"/>
    </i>
    <i>
      <x v="23"/>
    </i>
    <i r="1">
      <x v="1"/>
    </i>
    <i r="1">
      <x v="2"/>
    </i>
    <i r="1">
      <x v="5"/>
    </i>
    <i>
      <x v="24"/>
    </i>
    <i r="1">
      <x/>
    </i>
    <i>
      <x v="25"/>
    </i>
    <i r="1">
      <x v="1"/>
    </i>
    <i r="1">
      <x v="7"/>
    </i>
    <i>
      <x v="26"/>
    </i>
    <i r="1">
      <x v="5"/>
    </i>
    <i>
      <x v="27"/>
    </i>
    <i r="1">
      <x v="5"/>
    </i>
    <i>
      <x v="28"/>
    </i>
    <i r="1">
      <x v="1"/>
    </i>
    <i r="1">
      <x v="2"/>
    </i>
    <i r="1">
      <x v="7"/>
    </i>
    <i>
      <x v="29"/>
    </i>
    <i r="1">
      <x v="1"/>
    </i>
    <i r="1">
      <x v="2"/>
    </i>
    <i r="1">
      <x v="5"/>
    </i>
    <i r="1">
      <x v="7"/>
    </i>
    <i>
      <x v="30"/>
    </i>
    <i r="1">
      <x v="4"/>
    </i>
    <i r="1">
      <x v="6"/>
    </i>
    <i>
      <x v="31"/>
    </i>
    <i r="1">
      <x v="4"/>
    </i>
    <i>
      <x v="32"/>
    </i>
    <i r="1">
      <x v="1"/>
    </i>
    <i r="1">
      <x v="5"/>
    </i>
    <i r="1">
      <x v="7"/>
    </i>
    <i>
      <x v="33"/>
    </i>
    <i r="1">
      <x v="1"/>
    </i>
    <i>
      <x v="34"/>
    </i>
    <i r="1">
      <x v="1"/>
    </i>
    <i r="1">
      <x v="6"/>
    </i>
    <i r="1">
      <x v="7"/>
    </i>
    <i>
      <x v="35"/>
    </i>
    <i r="1">
      <x v="1"/>
    </i>
    <i r="1">
      <x v="2"/>
    </i>
    <i r="1">
      <x v="4"/>
    </i>
    <i r="1">
      <x v="6"/>
    </i>
    <i>
      <x v="36"/>
    </i>
    <i r="1">
      <x v="1"/>
    </i>
    <i r="1">
      <x v="6"/>
    </i>
    <i r="1">
      <x v="7"/>
    </i>
    <i>
      <x v="37"/>
    </i>
    <i r="1">
      <x/>
    </i>
    <i r="1">
      <x v="1"/>
    </i>
    <i r="1">
      <x v="5"/>
    </i>
    <i r="1">
      <x v="6"/>
    </i>
    <i>
      <x v="38"/>
    </i>
    <i r="1">
      <x v="2"/>
    </i>
    <i r="1">
      <x v="7"/>
    </i>
    <i>
      <x v="39"/>
    </i>
    <i r="1">
      <x v="8"/>
    </i>
    <i>
      <x v="40"/>
    </i>
    <i r="1">
      <x v="1"/>
    </i>
    <i t="grand">
      <x/>
    </i>
  </rowItems>
  <colItems count="1">
    <i/>
  </colItems>
  <dataFields count="1">
    <dataField name="Count of Ticke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A72B552-81AA-49CB-84C4-11E665BD645B}" name="PivotTable4"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5:D9" firstHeaderRow="1" firstDataRow="1" firstDataCol="1"/>
  <pivotFields count="10">
    <pivotField showAll="0"/>
    <pivotField showAll="0"/>
    <pivotField dataField="1" showAll="0"/>
    <pivotField showAll="0"/>
    <pivotField axis="axisRow" showAll="0">
      <items count="4">
        <item x="1"/>
        <item x="2"/>
        <item x="0"/>
        <item t="default"/>
      </items>
    </pivotField>
    <pivotField showAll="0"/>
    <pivotField numFmtId="14" showAll="0"/>
    <pivotField numFmtId="14" showAll="0"/>
    <pivotField showAll="0"/>
    <pivotField showAll="0">
      <items count="4">
        <item x="2"/>
        <item x="1"/>
        <item x="0"/>
        <item t="default"/>
      </items>
    </pivotField>
  </pivotFields>
  <rowFields count="1">
    <field x="4"/>
  </rowFields>
  <rowItems count="4">
    <i>
      <x/>
    </i>
    <i>
      <x v="1"/>
    </i>
    <i>
      <x v="2"/>
    </i>
    <i t="grand">
      <x/>
    </i>
  </rowItems>
  <colItems count="1">
    <i/>
  </colItems>
  <dataFields count="1">
    <dataField name="Count of Issue_Type" fld="2" subtotal="count" baseField="0" baseItem="0"/>
  </dataFields>
  <formats count="6">
    <format dxfId="18">
      <pivotArea type="all" dataOnly="0" outline="0" fieldPosition="0"/>
    </format>
    <format dxfId="17">
      <pivotArea outline="0" collapsedLevelsAreSubtotals="1" fieldPosition="0"/>
    </format>
    <format dxfId="16">
      <pivotArea field="4" type="button" dataOnly="0" labelOnly="1" outline="0" axis="axisRow" fieldPosition="0"/>
    </format>
    <format dxfId="15">
      <pivotArea dataOnly="0" labelOnly="1" fieldPosition="0">
        <references count="1">
          <reference field="4" count="0"/>
        </references>
      </pivotArea>
    </format>
    <format dxfId="14">
      <pivotArea dataOnly="0" labelOnly="1" grandRow="1" outline="0" fieldPosition="0"/>
    </format>
    <format dxfId="13">
      <pivotArea dataOnly="0" labelOnly="1" outline="0" axis="axisValues"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6B50D14-4ECE-418B-AA41-7AAA09E3627A}" name="PivotTable10"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4:H30" firstHeaderRow="1" firstDataRow="1" firstDataCol="1"/>
  <pivotFields count="10">
    <pivotField showAll="0"/>
    <pivotField showAll="0"/>
    <pivotField showAll="0"/>
    <pivotField axis="axisRow" showAll="0">
      <items count="6">
        <item x="3"/>
        <item x="1"/>
        <item x="2"/>
        <item x="0"/>
        <item x="4"/>
        <item t="default"/>
      </items>
    </pivotField>
    <pivotField showAll="0">
      <items count="4">
        <item x="1"/>
        <item x="2"/>
        <item x="0"/>
        <item t="default"/>
      </items>
    </pivotField>
    <pivotField showAll="0"/>
    <pivotField numFmtId="14" showAll="0"/>
    <pivotField numFmtId="14" showAll="0"/>
    <pivotField dataField="1" showAll="0"/>
    <pivotField showAll="0">
      <items count="4">
        <item x="2"/>
        <item x="1"/>
        <item x="0"/>
        <item t="default"/>
      </items>
    </pivotField>
  </pivotFields>
  <rowFields count="1">
    <field x="3"/>
  </rowFields>
  <rowItems count="6">
    <i>
      <x/>
    </i>
    <i>
      <x v="1"/>
    </i>
    <i>
      <x v="2"/>
    </i>
    <i>
      <x v="3"/>
    </i>
    <i>
      <x v="4"/>
    </i>
    <i t="grand">
      <x/>
    </i>
  </rowItems>
  <colItems count="1">
    <i/>
  </colItems>
  <dataFields count="1">
    <dataField name="Sum of Resolution_Time_Hours" fld="8" baseField="0" baseItem="0"/>
  </dataFields>
  <formats count="6">
    <format dxfId="24">
      <pivotArea type="all" dataOnly="0" outline="0" fieldPosition="0"/>
    </format>
    <format dxfId="23">
      <pivotArea outline="0" collapsedLevelsAreSubtotals="1" fieldPosition="0"/>
    </format>
    <format dxfId="22">
      <pivotArea field="3" type="button" dataOnly="0" labelOnly="1" outline="0" axis="axisRow" fieldPosition="0"/>
    </format>
    <format dxfId="21">
      <pivotArea dataOnly="0" labelOnly="1" fieldPosition="0">
        <references count="1">
          <reference field="3" count="0"/>
        </references>
      </pivotArea>
    </format>
    <format dxfId="20">
      <pivotArea dataOnly="0" labelOnly="1" grandRow="1" outline="0" fieldPosition="0"/>
    </format>
    <format dxfId="19">
      <pivotArea dataOnly="0" labelOnly="1" outline="0" axis="axisValues" fieldPosition="0"/>
    </format>
  </formats>
  <chartFormats count="6">
    <chartFormat chart="9" format="7" series="1">
      <pivotArea type="data" outline="0" fieldPosition="0">
        <references count="1">
          <reference field="4294967294" count="1" selected="0">
            <x v="0"/>
          </reference>
        </references>
      </pivotArea>
    </chartFormat>
    <chartFormat chart="9" format="8">
      <pivotArea type="data" outline="0" fieldPosition="0">
        <references count="2">
          <reference field="4294967294" count="1" selected="0">
            <x v="0"/>
          </reference>
          <reference field="3" count="1" selected="0">
            <x v="0"/>
          </reference>
        </references>
      </pivotArea>
    </chartFormat>
    <chartFormat chart="9" format="9">
      <pivotArea type="data" outline="0" fieldPosition="0">
        <references count="2">
          <reference field="4294967294" count="1" selected="0">
            <x v="0"/>
          </reference>
          <reference field="3" count="1" selected="0">
            <x v="1"/>
          </reference>
        </references>
      </pivotArea>
    </chartFormat>
    <chartFormat chart="9" format="10">
      <pivotArea type="data" outline="0" fieldPosition="0">
        <references count="2">
          <reference field="4294967294" count="1" selected="0">
            <x v="0"/>
          </reference>
          <reference field="3" count="1" selected="0">
            <x v="2"/>
          </reference>
        </references>
      </pivotArea>
    </chartFormat>
    <chartFormat chart="9" format="11">
      <pivotArea type="data" outline="0" fieldPosition="0">
        <references count="2">
          <reference field="4294967294" count="1" selected="0">
            <x v="0"/>
          </reference>
          <reference field="3" count="1" selected="0">
            <x v="3"/>
          </reference>
        </references>
      </pivotArea>
    </chartFormat>
    <chartFormat chart="9"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F95D60-9855-4CAB-A094-2D8EC3E7E701}" name="PivotTable3"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B13" firstHeaderRow="1" firstDataRow="1" firstDataCol="1"/>
  <pivotFields count="10">
    <pivotField showAll="0"/>
    <pivotField showAll="0"/>
    <pivotField axis="axisRow" showAll="0">
      <items count="10">
        <item x="6"/>
        <item x="4"/>
        <item x="2"/>
        <item m="1" x="8"/>
        <item x="5"/>
        <item x="0"/>
        <item x="3"/>
        <item x="1"/>
        <item h="1" x="7"/>
        <item t="default"/>
      </items>
    </pivotField>
    <pivotField showAll="0"/>
    <pivotField showAll="0">
      <items count="4">
        <item x="1"/>
        <item x="2"/>
        <item x="0"/>
        <item t="default"/>
      </items>
    </pivotField>
    <pivotField showAll="0"/>
    <pivotField numFmtId="14" showAll="0"/>
    <pivotField numFmtId="14" showAll="0"/>
    <pivotField dataField="1" showAll="0"/>
    <pivotField showAll="0">
      <items count="4">
        <item x="2"/>
        <item x="1"/>
        <item x="0"/>
        <item t="default"/>
      </items>
    </pivotField>
  </pivotFields>
  <rowFields count="1">
    <field x="2"/>
  </rowFields>
  <rowItems count="8">
    <i>
      <x/>
    </i>
    <i>
      <x v="1"/>
    </i>
    <i>
      <x v="2"/>
    </i>
    <i>
      <x v="4"/>
    </i>
    <i>
      <x v="5"/>
    </i>
    <i>
      <x v="6"/>
    </i>
    <i>
      <x v="7"/>
    </i>
    <i t="grand">
      <x/>
    </i>
  </rowItems>
  <colItems count="1">
    <i/>
  </colItems>
  <dataFields count="1">
    <dataField name="Sum of Resolution_Time_Hours" fld="8" baseField="0" baseItem="0"/>
  </dataFields>
  <formats count="6">
    <format dxfId="30">
      <pivotArea type="all" dataOnly="0" outline="0" fieldPosition="0"/>
    </format>
    <format dxfId="29">
      <pivotArea outline="0" collapsedLevelsAreSubtotals="1" fieldPosition="0"/>
    </format>
    <format dxfId="28">
      <pivotArea field="2" type="button" dataOnly="0" labelOnly="1" outline="0" axis="axisRow" fieldPosition="0"/>
    </format>
    <format dxfId="27">
      <pivotArea dataOnly="0" labelOnly="1" fieldPosition="0">
        <references count="1">
          <reference field="2" count="0"/>
        </references>
      </pivotArea>
    </format>
    <format dxfId="26">
      <pivotArea dataOnly="0" labelOnly="1" grandRow="1" outline="0" fieldPosition="0"/>
    </format>
    <format dxfId="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A3E74CE-3B5C-4B39-9853-E50656D5B662}" name="PivotTable9" cacheId="35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22:E30" firstHeaderRow="1" firstDataRow="1" firstDataCol="1"/>
  <pivotFields count="10">
    <pivotField dataField="1" showAll="0"/>
    <pivotField showAll="0"/>
    <pivotField axis="axisRow" showAll="0">
      <items count="10">
        <item x="6"/>
        <item x="4"/>
        <item x="2"/>
        <item m="1" x="8"/>
        <item x="5"/>
        <item x="0"/>
        <item x="3"/>
        <item x="1"/>
        <item h="1" x="7"/>
        <item t="default"/>
      </items>
    </pivotField>
    <pivotField showAll="0"/>
    <pivotField showAll="0">
      <items count="4">
        <item x="1"/>
        <item x="2"/>
        <item x="0"/>
        <item t="default"/>
      </items>
    </pivotField>
    <pivotField showAll="0"/>
    <pivotField numFmtId="14" showAll="0"/>
    <pivotField numFmtId="14" showAll="0"/>
    <pivotField showAll="0"/>
    <pivotField showAll="0">
      <items count="4">
        <item x="2"/>
        <item x="1"/>
        <item x="0"/>
        <item t="default"/>
      </items>
    </pivotField>
  </pivotFields>
  <rowFields count="1">
    <field x="2"/>
  </rowFields>
  <rowItems count="8">
    <i>
      <x/>
    </i>
    <i>
      <x v="1"/>
    </i>
    <i>
      <x v="2"/>
    </i>
    <i>
      <x v="4"/>
    </i>
    <i>
      <x v="5"/>
    </i>
    <i>
      <x v="6"/>
    </i>
    <i>
      <x v="7"/>
    </i>
    <i t="grand">
      <x/>
    </i>
  </rowItems>
  <colItems count="1">
    <i/>
  </colItems>
  <dataFields count="1">
    <dataField name="Count of Ticket_ID" fld="0" subtotal="count" baseField="0" baseItem="0"/>
  </dataFields>
  <formats count="6">
    <format dxfId="36">
      <pivotArea type="all" dataOnly="0" outline="0" fieldPosition="0"/>
    </format>
    <format dxfId="35">
      <pivotArea outline="0" collapsedLevelsAreSubtotals="1" fieldPosition="0"/>
    </format>
    <format dxfId="34">
      <pivotArea field="2" type="button" dataOnly="0" labelOnly="1" outline="0" axis="axisRow" fieldPosition="0"/>
    </format>
    <format dxfId="33">
      <pivotArea dataOnly="0" labelOnly="1" fieldPosition="0">
        <references count="1">
          <reference field="2" count="0"/>
        </references>
      </pivotArea>
    </format>
    <format dxfId="32">
      <pivotArea dataOnly="0" labelOnly="1" grandRow="1" outline="0" fieldPosition="0"/>
    </format>
    <format dxfId="31">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FF8CC0B0-BB47-491C-A74C-FC2544889D9F}" sourceName="Status">
  <pivotTables>
    <pivotTable tabId="2" name="PivotTable4"/>
    <pivotTable tabId="2" name="PivotTable1"/>
    <pivotTable tabId="2" name="PivotTable10"/>
    <pivotTable tabId="2" name="PivotTable2"/>
    <pivotTable tabId="2" name="PivotTable3"/>
    <pivotTable tabId="2" name="PivotTable5"/>
    <pivotTable tabId="2" name="PivotTable7"/>
    <pivotTable tabId="2" name="PivotTable8"/>
    <pivotTable tabId="2" name="PivotTable9"/>
  </pivotTables>
  <data>
    <tabular pivotCacheId="1624688436">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us" xr10:uid="{52183F7C-F3C5-4D16-ADFE-E40CAF275956}" cache="Slicer_Status" caption="Status" columnCount="3" showCaption="0" style="SlicerStyleOther2 2" rowHeight="144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12EF26B-AFAB-4E7B-A51E-AC465372AF3B}" name="Table1" displayName="Table1" ref="A1:J123" totalsRowShown="0" headerRowDxfId="50" headerRowBorderDxfId="49" tableBorderDxfId="48" totalsRowBorderDxfId="47">
  <autoFilter ref="A1:J123" xr:uid="{512EF26B-AFAB-4E7B-A51E-AC465372AF3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3772AC60-1A6C-4889-A14C-A0FCAD0AE216}" name="Ticket_ID" dataDxfId="46"/>
    <tableColumn id="2" xr3:uid="{F84B52E5-5C81-4E12-AE2C-52C47CF19D32}" name="Customer_ID" dataDxfId="45"/>
    <tableColumn id="3" xr3:uid="{5DDD0C9A-BE68-47DF-9BBA-F3BDF7902D9E}" name="Issue_Type" dataDxfId="44"/>
    <tableColumn id="4" xr3:uid="{31364095-B5F8-473B-BED9-BE1287C22FAB}" name="Priority" dataDxfId="43"/>
    <tableColumn id="5" xr3:uid="{D8CE54EA-A3C1-4E23-85EA-9DDAAAB1B90C}" name="Department" dataDxfId="42"/>
    <tableColumn id="6" xr3:uid="{3FFD8318-2163-4AB8-A949-21AA7D887695}" name="Support_Agent" dataDxfId="41"/>
    <tableColumn id="7" xr3:uid="{8A078621-B6B0-4379-BAD4-606E7EE6F129}" name="Date_Open" dataDxfId="40"/>
    <tableColumn id="8" xr3:uid="{122DA0C9-393A-4748-BB0E-7FF6655847F7}" name="Date_Closed" dataDxfId="39"/>
    <tableColumn id="9" xr3:uid="{20DFE875-4094-47CD-883F-911C5F39A64E}" name="Resolution_Time_Hours" dataDxfId="38"/>
    <tableColumn id="10" xr3:uid="{81C94A63-C53D-4F1E-8161-2E0C128553AE}" name="Status" dataDxfId="3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8"/>
  <sheetViews>
    <sheetView topLeftCell="A34" workbookViewId="0"/>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t="s">
        <v>11</v>
      </c>
      <c r="C2" t="s">
        <v>12</v>
      </c>
      <c r="D2" t="s">
        <v>13</v>
      </c>
      <c r="E2" t="s">
        <v>14</v>
      </c>
      <c r="F2" t="s">
        <v>15</v>
      </c>
      <c r="G2" t="s">
        <v>16</v>
      </c>
      <c r="H2" t="s">
        <v>17</v>
      </c>
      <c r="I2">
        <v>30</v>
      </c>
      <c r="J2" t="s">
        <v>18</v>
      </c>
    </row>
    <row r="3" spans="1:10" x14ac:dyDescent="0.35">
      <c r="A3" t="s">
        <v>19</v>
      </c>
      <c r="B3" t="s">
        <v>20</v>
      </c>
      <c r="C3" t="s">
        <v>21</v>
      </c>
      <c r="D3" t="s">
        <v>22</v>
      </c>
      <c r="E3" t="s">
        <v>14</v>
      </c>
      <c r="F3" t="s">
        <v>23</v>
      </c>
      <c r="G3" t="s">
        <v>24</v>
      </c>
      <c r="H3" t="s">
        <v>25</v>
      </c>
      <c r="I3">
        <v>56</v>
      </c>
      <c r="J3" t="s">
        <v>26</v>
      </c>
    </row>
    <row r="4" spans="1:10" x14ac:dyDescent="0.35">
      <c r="A4" t="s">
        <v>27</v>
      </c>
      <c r="B4" t="s">
        <v>28</v>
      </c>
      <c r="C4" t="s">
        <v>29</v>
      </c>
      <c r="D4" t="s">
        <v>30</v>
      </c>
      <c r="E4" t="s">
        <v>31</v>
      </c>
      <c r="F4" t="s">
        <v>23</v>
      </c>
      <c r="G4" t="s">
        <v>32</v>
      </c>
      <c r="H4" t="s">
        <v>33</v>
      </c>
      <c r="I4">
        <v>54</v>
      </c>
      <c r="J4" t="s">
        <v>18</v>
      </c>
    </row>
    <row r="5" spans="1:10" x14ac:dyDescent="0.35">
      <c r="A5" t="s">
        <v>34</v>
      </c>
      <c r="B5" t="s">
        <v>35</v>
      </c>
      <c r="C5" t="s">
        <v>12</v>
      </c>
      <c r="D5" t="s">
        <v>36</v>
      </c>
      <c r="E5" t="s">
        <v>31</v>
      </c>
      <c r="F5" t="s">
        <v>15</v>
      </c>
      <c r="G5" t="s">
        <v>37</v>
      </c>
      <c r="H5" t="s">
        <v>38</v>
      </c>
      <c r="I5">
        <v>65</v>
      </c>
      <c r="J5" t="s">
        <v>39</v>
      </c>
    </row>
    <row r="6" spans="1:10" x14ac:dyDescent="0.35">
      <c r="A6" t="s">
        <v>40</v>
      </c>
      <c r="B6" t="s">
        <v>41</v>
      </c>
      <c r="C6" t="s">
        <v>42</v>
      </c>
      <c r="D6" t="s">
        <v>30</v>
      </c>
      <c r="E6" t="s">
        <v>14</v>
      </c>
      <c r="F6" t="s">
        <v>15</v>
      </c>
      <c r="G6" t="s">
        <v>17</v>
      </c>
      <c r="H6" t="s">
        <v>17</v>
      </c>
      <c r="I6">
        <v>45</v>
      </c>
      <c r="J6" t="s">
        <v>26</v>
      </c>
    </row>
    <row r="7" spans="1:10" x14ac:dyDescent="0.35">
      <c r="A7" t="s">
        <v>43</v>
      </c>
      <c r="B7" t="s">
        <v>44</v>
      </c>
      <c r="C7" t="s">
        <v>45</v>
      </c>
      <c r="D7" t="s">
        <v>46</v>
      </c>
      <c r="E7" t="s">
        <v>31</v>
      </c>
      <c r="F7" t="s">
        <v>23</v>
      </c>
      <c r="G7" t="s">
        <v>47</v>
      </c>
      <c r="H7" t="s">
        <v>48</v>
      </c>
      <c r="I7">
        <v>30</v>
      </c>
      <c r="J7" t="s">
        <v>26</v>
      </c>
    </row>
    <row r="8" spans="1:10" x14ac:dyDescent="0.35">
      <c r="A8" t="s">
        <v>49</v>
      </c>
      <c r="B8" t="s">
        <v>20</v>
      </c>
      <c r="C8" t="s">
        <v>50</v>
      </c>
      <c r="D8" t="s">
        <v>22</v>
      </c>
      <c r="E8" t="s">
        <v>51</v>
      </c>
      <c r="F8" t="s">
        <v>23</v>
      </c>
      <c r="G8" t="s">
        <v>52</v>
      </c>
      <c r="H8" t="s">
        <v>53</v>
      </c>
      <c r="I8">
        <v>31</v>
      </c>
      <c r="J8" t="s">
        <v>26</v>
      </c>
    </row>
    <row r="9" spans="1:10" x14ac:dyDescent="0.35">
      <c r="A9" t="s">
        <v>54</v>
      </c>
      <c r="B9" t="s">
        <v>55</v>
      </c>
      <c r="C9" t="s">
        <v>42</v>
      </c>
      <c r="D9" t="s">
        <v>13</v>
      </c>
      <c r="E9" t="s">
        <v>31</v>
      </c>
      <c r="F9" t="s">
        <v>56</v>
      </c>
      <c r="G9" t="s">
        <v>57</v>
      </c>
      <c r="H9" t="s">
        <v>58</v>
      </c>
      <c r="I9">
        <v>24</v>
      </c>
      <c r="J9" t="s">
        <v>18</v>
      </c>
    </row>
    <row r="10" spans="1:10" x14ac:dyDescent="0.35">
      <c r="A10" t="s">
        <v>59</v>
      </c>
      <c r="B10" t="s">
        <v>60</v>
      </c>
      <c r="C10" t="s">
        <v>61</v>
      </c>
      <c r="D10" t="s">
        <v>62</v>
      </c>
      <c r="E10" t="s">
        <v>14</v>
      </c>
      <c r="F10" t="s">
        <v>63</v>
      </c>
      <c r="G10" t="s">
        <v>32</v>
      </c>
      <c r="H10" t="s">
        <v>64</v>
      </c>
      <c r="I10">
        <v>14</v>
      </c>
      <c r="J10" t="s">
        <v>39</v>
      </c>
    </row>
    <row r="11" spans="1:10" x14ac:dyDescent="0.35">
      <c r="A11" t="s">
        <v>65</v>
      </c>
      <c r="B11" t="s">
        <v>66</v>
      </c>
      <c r="C11" t="s">
        <v>67</v>
      </c>
      <c r="D11" t="s">
        <v>68</v>
      </c>
      <c r="E11" t="s">
        <v>14</v>
      </c>
      <c r="F11" t="s">
        <v>69</v>
      </c>
      <c r="G11" t="s">
        <v>47</v>
      </c>
      <c r="H11" t="s">
        <v>70</v>
      </c>
      <c r="I11">
        <v>36</v>
      </c>
      <c r="J11" t="s">
        <v>26</v>
      </c>
    </row>
    <row r="12" spans="1:10" x14ac:dyDescent="0.35">
      <c r="A12" t="s">
        <v>71</v>
      </c>
      <c r="B12" t="s">
        <v>72</v>
      </c>
      <c r="C12" t="s">
        <v>12</v>
      </c>
      <c r="D12" t="s">
        <v>36</v>
      </c>
      <c r="E12" t="s">
        <v>31</v>
      </c>
      <c r="F12" t="s">
        <v>15</v>
      </c>
      <c r="G12" t="s">
        <v>58</v>
      </c>
      <c r="H12" t="s">
        <v>73</v>
      </c>
      <c r="I12">
        <v>39</v>
      </c>
      <c r="J12" t="s">
        <v>26</v>
      </c>
    </row>
    <row r="13" spans="1:10" x14ac:dyDescent="0.35">
      <c r="A13" t="s">
        <v>74</v>
      </c>
      <c r="B13" t="s">
        <v>75</v>
      </c>
      <c r="C13" t="s">
        <v>76</v>
      </c>
      <c r="D13" t="s">
        <v>46</v>
      </c>
      <c r="E13" t="s">
        <v>31</v>
      </c>
      <c r="F13" t="s">
        <v>56</v>
      </c>
      <c r="G13" t="s">
        <v>77</v>
      </c>
      <c r="H13" t="s">
        <v>78</v>
      </c>
      <c r="J13" t="s">
        <v>26</v>
      </c>
    </row>
    <row r="14" spans="1:10" x14ac:dyDescent="0.35">
      <c r="A14" t="s">
        <v>79</v>
      </c>
      <c r="B14" t="s">
        <v>80</v>
      </c>
      <c r="C14" t="s">
        <v>81</v>
      </c>
      <c r="D14" t="s">
        <v>82</v>
      </c>
      <c r="E14" t="s">
        <v>51</v>
      </c>
      <c r="F14" t="s">
        <v>23</v>
      </c>
      <c r="G14" t="s">
        <v>83</v>
      </c>
      <c r="H14" t="s">
        <v>84</v>
      </c>
      <c r="I14">
        <v>44</v>
      </c>
      <c r="J14" t="s">
        <v>18</v>
      </c>
    </row>
    <row r="15" spans="1:10" x14ac:dyDescent="0.35">
      <c r="A15" t="s">
        <v>85</v>
      </c>
      <c r="B15" t="s">
        <v>86</v>
      </c>
      <c r="C15" t="s">
        <v>21</v>
      </c>
      <c r="D15" t="s">
        <v>36</v>
      </c>
      <c r="E15" t="s">
        <v>31</v>
      </c>
      <c r="F15" t="s">
        <v>63</v>
      </c>
      <c r="G15" t="s">
        <v>87</v>
      </c>
      <c r="H15" t="s">
        <v>33</v>
      </c>
      <c r="I15">
        <v>56</v>
      </c>
      <c r="J15" t="s">
        <v>26</v>
      </c>
    </row>
    <row r="16" spans="1:10" x14ac:dyDescent="0.35">
      <c r="A16" t="s">
        <v>88</v>
      </c>
      <c r="B16" t="s">
        <v>89</v>
      </c>
      <c r="C16" t="s">
        <v>29</v>
      </c>
      <c r="D16" t="s">
        <v>30</v>
      </c>
      <c r="E16" t="s">
        <v>14</v>
      </c>
      <c r="F16" t="s">
        <v>23</v>
      </c>
      <c r="G16" t="s">
        <v>90</v>
      </c>
      <c r="H16" t="s">
        <v>91</v>
      </c>
      <c r="J16" t="s">
        <v>92</v>
      </c>
    </row>
    <row r="17" spans="1:10" x14ac:dyDescent="0.35">
      <c r="A17" t="s">
        <v>93</v>
      </c>
      <c r="B17" t="s">
        <v>55</v>
      </c>
      <c r="C17" t="s">
        <v>12</v>
      </c>
      <c r="D17" t="s">
        <v>22</v>
      </c>
      <c r="E17" t="s">
        <v>14</v>
      </c>
      <c r="F17" t="s">
        <v>69</v>
      </c>
      <c r="G17" t="s">
        <v>87</v>
      </c>
      <c r="H17" t="s">
        <v>87</v>
      </c>
      <c r="I17">
        <v>27</v>
      </c>
      <c r="J17" t="s">
        <v>26</v>
      </c>
    </row>
    <row r="18" spans="1:10" x14ac:dyDescent="0.35">
      <c r="A18" t="s">
        <v>94</v>
      </c>
      <c r="B18" t="s">
        <v>55</v>
      </c>
      <c r="C18" t="s">
        <v>21</v>
      </c>
      <c r="D18" t="s">
        <v>22</v>
      </c>
      <c r="E18" t="s">
        <v>51</v>
      </c>
      <c r="F18" t="s">
        <v>15</v>
      </c>
      <c r="G18" t="s">
        <v>95</v>
      </c>
      <c r="H18" t="s">
        <v>96</v>
      </c>
      <c r="I18">
        <v>30</v>
      </c>
      <c r="J18" t="s">
        <v>18</v>
      </c>
    </row>
    <row r="19" spans="1:10" x14ac:dyDescent="0.35">
      <c r="A19" t="s">
        <v>97</v>
      </c>
      <c r="B19" t="s">
        <v>98</v>
      </c>
      <c r="C19" t="s">
        <v>99</v>
      </c>
      <c r="D19" t="s">
        <v>68</v>
      </c>
      <c r="E19" t="s">
        <v>14</v>
      </c>
      <c r="F19" t="s">
        <v>15</v>
      </c>
      <c r="G19" t="s">
        <v>100</v>
      </c>
      <c r="H19" t="s">
        <v>38</v>
      </c>
      <c r="I19">
        <v>71</v>
      </c>
      <c r="J19" t="s">
        <v>39</v>
      </c>
    </row>
    <row r="20" spans="1:10" x14ac:dyDescent="0.35">
      <c r="A20" t="s">
        <v>101</v>
      </c>
      <c r="B20" t="s">
        <v>102</v>
      </c>
      <c r="C20" t="s">
        <v>103</v>
      </c>
      <c r="D20" t="s">
        <v>46</v>
      </c>
      <c r="E20" t="s">
        <v>51</v>
      </c>
      <c r="F20" t="s">
        <v>63</v>
      </c>
      <c r="G20" t="s">
        <v>104</v>
      </c>
      <c r="H20" t="s">
        <v>105</v>
      </c>
      <c r="I20">
        <v>63</v>
      </c>
      <c r="J20" t="s">
        <v>18</v>
      </c>
    </row>
    <row r="21" spans="1:10" x14ac:dyDescent="0.35">
      <c r="A21" t="s">
        <v>106</v>
      </c>
      <c r="B21" t="s">
        <v>107</v>
      </c>
      <c r="C21" t="s">
        <v>108</v>
      </c>
      <c r="D21" t="s">
        <v>46</v>
      </c>
      <c r="E21" t="s">
        <v>51</v>
      </c>
      <c r="F21" t="s">
        <v>63</v>
      </c>
      <c r="G21" t="s">
        <v>47</v>
      </c>
      <c r="H21" t="s">
        <v>87</v>
      </c>
      <c r="I21">
        <v>55</v>
      </c>
      <c r="J21" t="s">
        <v>18</v>
      </c>
    </row>
    <row r="22" spans="1:10" x14ac:dyDescent="0.35">
      <c r="A22" t="s">
        <v>109</v>
      </c>
      <c r="B22" t="s">
        <v>110</v>
      </c>
      <c r="C22" t="s">
        <v>76</v>
      </c>
      <c r="D22" t="s">
        <v>13</v>
      </c>
      <c r="E22" t="s">
        <v>51</v>
      </c>
      <c r="F22" t="s">
        <v>63</v>
      </c>
      <c r="G22" t="s">
        <v>111</v>
      </c>
      <c r="H22" t="s">
        <v>64</v>
      </c>
      <c r="I22">
        <v>3</v>
      </c>
      <c r="J22" t="s">
        <v>92</v>
      </c>
    </row>
    <row r="23" spans="1:10" x14ac:dyDescent="0.35">
      <c r="A23" t="s">
        <v>112</v>
      </c>
      <c r="B23" t="s">
        <v>113</v>
      </c>
      <c r="C23" t="s">
        <v>114</v>
      </c>
      <c r="D23" t="s">
        <v>22</v>
      </c>
      <c r="E23" t="s">
        <v>31</v>
      </c>
      <c r="F23" t="s">
        <v>56</v>
      </c>
      <c r="G23" t="s">
        <v>32</v>
      </c>
      <c r="H23" t="s">
        <v>33</v>
      </c>
      <c r="I23">
        <v>42</v>
      </c>
      <c r="J23" t="s">
        <v>18</v>
      </c>
    </row>
    <row r="24" spans="1:10" x14ac:dyDescent="0.35">
      <c r="A24" t="s">
        <v>115</v>
      </c>
      <c r="B24" t="s">
        <v>116</v>
      </c>
      <c r="C24" t="s">
        <v>108</v>
      </c>
      <c r="D24" t="s">
        <v>22</v>
      </c>
      <c r="E24" t="s">
        <v>51</v>
      </c>
      <c r="F24" t="s">
        <v>117</v>
      </c>
      <c r="G24" t="s">
        <v>111</v>
      </c>
      <c r="H24" t="s">
        <v>118</v>
      </c>
      <c r="I24">
        <v>35</v>
      </c>
      <c r="J24" t="s">
        <v>39</v>
      </c>
    </row>
    <row r="25" spans="1:10" x14ac:dyDescent="0.35">
      <c r="A25" t="s">
        <v>119</v>
      </c>
      <c r="B25" t="s">
        <v>120</v>
      </c>
      <c r="C25" t="s">
        <v>50</v>
      </c>
      <c r="D25" t="s">
        <v>46</v>
      </c>
      <c r="E25" t="s">
        <v>51</v>
      </c>
      <c r="F25" t="s">
        <v>56</v>
      </c>
      <c r="G25" t="s">
        <v>90</v>
      </c>
      <c r="H25" t="s">
        <v>121</v>
      </c>
      <c r="I25">
        <v>47</v>
      </c>
      <c r="J25" t="s">
        <v>26</v>
      </c>
    </row>
    <row r="26" spans="1:10" x14ac:dyDescent="0.35">
      <c r="A26" t="s">
        <v>122</v>
      </c>
      <c r="B26" t="s">
        <v>41</v>
      </c>
      <c r="C26" t="s">
        <v>123</v>
      </c>
      <c r="D26" t="s">
        <v>46</v>
      </c>
      <c r="E26" t="s">
        <v>31</v>
      </c>
      <c r="F26" t="s">
        <v>69</v>
      </c>
      <c r="G26" t="s">
        <v>104</v>
      </c>
      <c r="H26" t="s">
        <v>38</v>
      </c>
      <c r="I26">
        <v>17</v>
      </c>
      <c r="J26" t="s">
        <v>92</v>
      </c>
    </row>
    <row r="27" spans="1:10" x14ac:dyDescent="0.35">
      <c r="A27" t="s">
        <v>124</v>
      </c>
      <c r="B27" t="s">
        <v>89</v>
      </c>
      <c r="C27" t="s">
        <v>125</v>
      </c>
      <c r="D27" t="s">
        <v>36</v>
      </c>
      <c r="E27" t="s">
        <v>51</v>
      </c>
      <c r="F27" t="s">
        <v>69</v>
      </c>
      <c r="G27" t="s">
        <v>77</v>
      </c>
      <c r="H27" t="s">
        <v>96</v>
      </c>
      <c r="J27" t="s">
        <v>39</v>
      </c>
    </row>
    <row r="28" spans="1:10" x14ac:dyDescent="0.35">
      <c r="A28" t="s">
        <v>126</v>
      </c>
      <c r="B28" t="s">
        <v>89</v>
      </c>
      <c r="C28" t="s">
        <v>76</v>
      </c>
      <c r="D28" t="s">
        <v>22</v>
      </c>
      <c r="E28" t="s">
        <v>14</v>
      </c>
      <c r="F28" t="s">
        <v>56</v>
      </c>
      <c r="G28" t="s">
        <v>90</v>
      </c>
      <c r="H28" t="s">
        <v>127</v>
      </c>
      <c r="I28">
        <v>18</v>
      </c>
      <c r="J28" t="s">
        <v>92</v>
      </c>
    </row>
    <row r="29" spans="1:10" x14ac:dyDescent="0.35">
      <c r="A29" t="s">
        <v>128</v>
      </c>
      <c r="B29" t="s">
        <v>120</v>
      </c>
      <c r="C29" t="s">
        <v>67</v>
      </c>
      <c r="D29" t="s">
        <v>68</v>
      </c>
      <c r="E29" t="s">
        <v>14</v>
      </c>
      <c r="F29" t="s">
        <v>23</v>
      </c>
      <c r="G29" t="s">
        <v>129</v>
      </c>
      <c r="H29" t="s">
        <v>130</v>
      </c>
      <c r="I29">
        <v>50</v>
      </c>
      <c r="J29" t="s">
        <v>39</v>
      </c>
    </row>
    <row r="30" spans="1:10" x14ac:dyDescent="0.35">
      <c r="A30" t="s">
        <v>131</v>
      </c>
      <c r="B30" t="s">
        <v>107</v>
      </c>
      <c r="C30" t="s">
        <v>103</v>
      </c>
      <c r="D30" t="s">
        <v>82</v>
      </c>
      <c r="E30" t="s">
        <v>51</v>
      </c>
      <c r="F30" t="s">
        <v>23</v>
      </c>
      <c r="G30" t="s">
        <v>17</v>
      </c>
      <c r="H30" t="s">
        <v>17</v>
      </c>
      <c r="J30" t="s">
        <v>92</v>
      </c>
    </row>
    <row r="31" spans="1:10" x14ac:dyDescent="0.35">
      <c r="A31" t="s">
        <v>132</v>
      </c>
      <c r="B31" t="s">
        <v>28</v>
      </c>
      <c r="C31" t="s">
        <v>42</v>
      </c>
      <c r="D31" t="s">
        <v>46</v>
      </c>
      <c r="E31" t="s">
        <v>14</v>
      </c>
      <c r="F31" t="s">
        <v>117</v>
      </c>
      <c r="G31" t="s">
        <v>133</v>
      </c>
      <c r="H31" t="s">
        <v>25</v>
      </c>
      <c r="I31">
        <v>15</v>
      </c>
      <c r="J31" t="s">
        <v>18</v>
      </c>
    </row>
    <row r="32" spans="1:10" x14ac:dyDescent="0.35">
      <c r="A32" t="s">
        <v>134</v>
      </c>
      <c r="B32" t="s">
        <v>120</v>
      </c>
      <c r="C32" t="s">
        <v>29</v>
      </c>
      <c r="D32" t="s">
        <v>68</v>
      </c>
      <c r="E32" t="s">
        <v>31</v>
      </c>
      <c r="F32" t="s">
        <v>56</v>
      </c>
      <c r="G32" t="s">
        <v>37</v>
      </c>
      <c r="H32" t="s">
        <v>17</v>
      </c>
      <c r="I32">
        <v>61</v>
      </c>
      <c r="J32" t="s">
        <v>39</v>
      </c>
    </row>
    <row r="33" spans="1:10" x14ac:dyDescent="0.35">
      <c r="A33" t="s">
        <v>135</v>
      </c>
      <c r="B33" t="s">
        <v>72</v>
      </c>
      <c r="C33" t="s">
        <v>61</v>
      </c>
      <c r="D33" t="s">
        <v>36</v>
      </c>
      <c r="E33" t="s">
        <v>14</v>
      </c>
      <c r="F33" t="s">
        <v>56</v>
      </c>
      <c r="G33" t="s">
        <v>47</v>
      </c>
      <c r="H33" t="s">
        <v>70</v>
      </c>
      <c r="I33">
        <v>21</v>
      </c>
      <c r="J33" t="s">
        <v>18</v>
      </c>
    </row>
    <row r="34" spans="1:10" x14ac:dyDescent="0.35">
      <c r="A34" t="s">
        <v>136</v>
      </c>
      <c r="B34" t="s">
        <v>66</v>
      </c>
      <c r="C34" t="s">
        <v>21</v>
      </c>
      <c r="D34" t="s">
        <v>82</v>
      </c>
      <c r="E34" t="s">
        <v>31</v>
      </c>
      <c r="F34" t="s">
        <v>69</v>
      </c>
      <c r="G34" t="s">
        <v>137</v>
      </c>
      <c r="H34" t="s">
        <v>53</v>
      </c>
      <c r="I34">
        <v>55</v>
      </c>
      <c r="J34" t="s">
        <v>39</v>
      </c>
    </row>
    <row r="35" spans="1:10" x14ac:dyDescent="0.35">
      <c r="A35" t="s">
        <v>138</v>
      </c>
      <c r="B35" t="s">
        <v>60</v>
      </c>
      <c r="C35" t="s">
        <v>29</v>
      </c>
      <c r="D35" t="s">
        <v>13</v>
      </c>
      <c r="E35" t="s">
        <v>14</v>
      </c>
      <c r="F35" t="s">
        <v>23</v>
      </c>
      <c r="G35" t="s">
        <v>16</v>
      </c>
      <c r="H35" t="s">
        <v>139</v>
      </c>
      <c r="I35">
        <v>10</v>
      </c>
      <c r="J35" t="s">
        <v>39</v>
      </c>
    </row>
    <row r="36" spans="1:10" x14ac:dyDescent="0.35">
      <c r="A36" t="s">
        <v>140</v>
      </c>
      <c r="B36" t="s">
        <v>110</v>
      </c>
      <c r="C36" t="s">
        <v>108</v>
      </c>
      <c r="D36" t="s">
        <v>36</v>
      </c>
      <c r="E36" t="s">
        <v>31</v>
      </c>
      <c r="F36" t="s">
        <v>117</v>
      </c>
      <c r="G36" t="s">
        <v>64</v>
      </c>
      <c r="H36" t="s">
        <v>118</v>
      </c>
      <c r="I36">
        <v>60</v>
      </c>
      <c r="J36" t="s">
        <v>26</v>
      </c>
    </row>
    <row r="37" spans="1:10" x14ac:dyDescent="0.35">
      <c r="A37" t="s">
        <v>141</v>
      </c>
      <c r="B37" t="s">
        <v>35</v>
      </c>
      <c r="C37" t="s">
        <v>108</v>
      </c>
      <c r="D37" t="s">
        <v>46</v>
      </c>
      <c r="E37" t="s">
        <v>31</v>
      </c>
      <c r="F37" t="s">
        <v>15</v>
      </c>
      <c r="G37" t="s">
        <v>142</v>
      </c>
      <c r="H37" t="s">
        <v>100</v>
      </c>
      <c r="I37">
        <v>13</v>
      </c>
      <c r="J37" t="s">
        <v>92</v>
      </c>
    </row>
    <row r="38" spans="1:10" x14ac:dyDescent="0.35">
      <c r="A38" t="s">
        <v>143</v>
      </c>
      <c r="B38" t="s">
        <v>120</v>
      </c>
      <c r="C38" t="s">
        <v>45</v>
      </c>
      <c r="D38" t="s">
        <v>22</v>
      </c>
      <c r="E38" t="s">
        <v>31</v>
      </c>
      <c r="F38" t="s">
        <v>23</v>
      </c>
      <c r="G38" t="s">
        <v>70</v>
      </c>
      <c r="H38" t="s">
        <v>70</v>
      </c>
      <c r="J38" t="s">
        <v>39</v>
      </c>
    </row>
    <row r="39" spans="1:10" x14ac:dyDescent="0.35">
      <c r="A39" t="s">
        <v>144</v>
      </c>
      <c r="B39" t="s">
        <v>145</v>
      </c>
      <c r="C39" t="s">
        <v>12</v>
      </c>
      <c r="D39" t="s">
        <v>30</v>
      </c>
      <c r="E39" t="s">
        <v>31</v>
      </c>
      <c r="F39" t="s">
        <v>56</v>
      </c>
      <c r="G39" t="s">
        <v>133</v>
      </c>
      <c r="H39" t="s">
        <v>127</v>
      </c>
      <c r="I39">
        <v>11</v>
      </c>
      <c r="J39" t="s">
        <v>39</v>
      </c>
    </row>
    <row r="40" spans="1:10" x14ac:dyDescent="0.35">
      <c r="A40" t="s">
        <v>146</v>
      </c>
      <c r="B40" t="s">
        <v>113</v>
      </c>
      <c r="C40" t="s">
        <v>29</v>
      </c>
      <c r="D40" t="s">
        <v>82</v>
      </c>
      <c r="E40" t="s">
        <v>14</v>
      </c>
      <c r="F40" t="s">
        <v>23</v>
      </c>
      <c r="G40" t="s">
        <v>87</v>
      </c>
      <c r="H40" t="s">
        <v>147</v>
      </c>
      <c r="I40">
        <v>52</v>
      </c>
      <c r="J40" t="s">
        <v>39</v>
      </c>
    </row>
    <row r="41" spans="1:10" x14ac:dyDescent="0.35">
      <c r="A41" t="s">
        <v>148</v>
      </c>
      <c r="B41" t="s">
        <v>149</v>
      </c>
      <c r="C41" t="s">
        <v>45</v>
      </c>
      <c r="D41" t="s">
        <v>13</v>
      </c>
      <c r="E41" t="s">
        <v>51</v>
      </c>
      <c r="F41" t="s">
        <v>69</v>
      </c>
      <c r="G41" t="s">
        <v>84</v>
      </c>
      <c r="H41" t="s">
        <v>139</v>
      </c>
      <c r="I41">
        <v>63</v>
      </c>
      <c r="J41" t="s">
        <v>26</v>
      </c>
    </row>
    <row r="42" spans="1:10" x14ac:dyDescent="0.35">
      <c r="A42" t="s">
        <v>150</v>
      </c>
      <c r="B42" t="s">
        <v>151</v>
      </c>
      <c r="C42" t="s">
        <v>21</v>
      </c>
      <c r="D42" t="s">
        <v>68</v>
      </c>
      <c r="E42" t="s">
        <v>14</v>
      </c>
      <c r="F42" t="s">
        <v>23</v>
      </c>
      <c r="G42" t="s">
        <v>133</v>
      </c>
      <c r="H42" t="s">
        <v>25</v>
      </c>
      <c r="I42">
        <v>22</v>
      </c>
      <c r="J42" t="s">
        <v>26</v>
      </c>
    </row>
    <row r="43" spans="1:10" x14ac:dyDescent="0.35">
      <c r="A43" t="s">
        <v>152</v>
      </c>
      <c r="B43" t="s">
        <v>75</v>
      </c>
      <c r="C43" t="s">
        <v>67</v>
      </c>
      <c r="D43" t="s">
        <v>36</v>
      </c>
      <c r="E43" t="s">
        <v>31</v>
      </c>
      <c r="F43" t="s">
        <v>63</v>
      </c>
      <c r="G43" t="s">
        <v>153</v>
      </c>
      <c r="H43" t="s">
        <v>78</v>
      </c>
      <c r="I43">
        <v>37</v>
      </c>
      <c r="J43" t="s">
        <v>39</v>
      </c>
    </row>
    <row r="44" spans="1:10" x14ac:dyDescent="0.35">
      <c r="A44" t="s">
        <v>154</v>
      </c>
      <c r="B44" t="s">
        <v>72</v>
      </c>
      <c r="C44" t="s">
        <v>42</v>
      </c>
      <c r="D44" t="s">
        <v>82</v>
      </c>
      <c r="E44" t="s">
        <v>14</v>
      </c>
      <c r="F44" t="s">
        <v>23</v>
      </c>
      <c r="G44" t="s">
        <v>17</v>
      </c>
      <c r="H44" t="s">
        <v>38</v>
      </c>
      <c r="I44">
        <v>8</v>
      </c>
      <c r="J44" t="s">
        <v>92</v>
      </c>
    </row>
    <row r="45" spans="1:10" x14ac:dyDescent="0.35">
      <c r="A45" t="s">
        <v>155</v>
      </c>
      <c r="B45" t="s">
        <v>156</v>
      </c>
      <c r="C45" t="s">
        <v>76</v>
      </c>
      <c r="D45" t="s">
        <v>46</v>
      </c>
      <c r="E45" t="s">
        <v>31</v>
      </c>
      <c r="F45" t="s">
        <v>15</v>
      </c>
      <c r="G45" t="s">
        <v>52</v>
      </c>
      <c r="H45" t="s">
        <v>53</v>
      </c>
      <c r="I45">
        <v>25</v>
      </c>
      <c r="J45" t="s">
        <v>92</v>
      </c>
    </row>
    <row r="46" spans="1:10" x14ac:dyDescent="0.35">
      <c r="A46" t="s">
        <v>157</v>
      </c>
      <c r="B46" t="s">
        <v>158</v>
      </c>
      <c r="C46" t="s">
        <v>108</v>
      </c>
      <c r="D46" t="s">
        <v>30</v>
      </c>
      <c r="E46" t="s">
        <v>14</v>
      </c>
      <c r="F46" t="s">
        <v>56</v>
      </c>
      <c r="G46" t="s">
        <v>127</v>
      </c>
      <c r="H46" t="s">
        <v>73</v>
      </c>
      <c r="I46">
        <v>32</v>
      </c>
      <c r="J46" t="s">
        <v>39</v>
      </c>
    </row>
    <row r="47" spans="1:10" x14ac:dyDescent="0.35">
      <c r="A47" t="s">
        <v>159</v>
      </c>
      <c r="B47" t="s">
        <v>160</v>
      </c>
      <c r="C47" t="s">
        <v>61</v>
      </c>
      <c r="D47" t="s">
        <v>22</v>
      </c>
      <c r="E47" t="s">
        <v>31</v>
      </c>
      <c r="F47" t="s">
        <v>15</v>
      </c>
      <c r="G47" t="s">
        <v>24</v>
      </c>
      <c r="H47" t="s">
        <v>121</v>
      </c>
      <c r="I47">
        <v>26</v>
      </c>
      <c r="J47" t="s">
        <v>26</v>
      </c>
    </row>
    <row r="48" spans="1:10" x14ac:dyDescent="0.35">
      <c r="A48" t="s">
        <v>161</v>
      </c>
      <c r="B48" t="s">
        <v>162</v>
      </c>
      <c r="C48" t="s">
        <v>125</v>
      </c>
      <c r="D48" t="s">
        <v>36</v>
      </c>
      <c r="E48" t="s">
        <v>14</v>
      </c>
      <c r="F48" t="s">
        <v>63</v>
      </c>
      <c r="G48" t="s">
        <v>57</v>
      </c>
      <c r="H48" t="s">
        <v>90</v>
      </c>
      <c r="I48">
        <v>38</v>
      </c>
      <c r="J48" t="s">
        <v>18</v>
      </c>
    </row>
    <row r="49" spans="1:10" x14ac:dyDescent="0.35">
      <c r="A49" t="s">
        <v>163</v>
      </c>
      <c r="B49" t="s">
        <v>164</v>
      </c>
      <c r="C49" t="s">
        <v>108</v>
      </c>
      <c r="D49" t="s">
        <v>36</v>
      </c>
      <c r="E49" t="s">
        <v>31</v>
      </c>
      <c r="F49" t="s">
        <v>117</v>
      </c>
      <c r="G49" t="s">
        <v>100</v>
      </c>
      <c r="H49" t="s">
        <v>105</v>
      </c>
      <c r="I49">
        <v>16</v>
      </c>
      <c r="J49" t="s">
        <v>18</v>
      </c>
    </row>
    <row r="50" spans="1:10" x14ac:dyDescent="0.35">
      <c r="A50" t="s">
        <v>165</v>
      </c>
      <c r="B50" t="s">
        <v>160</v>
      </c>
      <c r="C50" t="s">
        <v>108</v>
      </c>
      <c r="D50" t="s">
        <v>36</v>
      </c>
      <c r="E50" t="s">
        <v>51</v>
      </c>
      <c r="F50" t="s">
        <v>56</v>
      </c>
      <c r="G50" t="s">
        <v>153</v>
      </c>
      <c r="H50" t="s">
        <v>53</v>
      </c>
      <c r="I50">
        <v>51</v>
      </c>
      <c r="J50" t="s">
        <v>26</v>
      </c>
    </row>
    <row r="51" spans="1:10" x14ac:dyDescent="0.35">
      <c r="A51" t="s">
        <v>166</v>
      </c>
      <c r="B51" t="s">
        <v>75</v>
      </c>
      <c r="C51" t="s">
        <v>125</v>
      </c>
      <c r="D51" t="s">
        <v>82</v>
      </c>
      <c r="E51" t="s">
        <v>51</v>
      </c>
      <c r="F51" t="s">
        <v>56</v>
      </c>
      <c r="G51" t="s">
        <v>137</v>
      </c>
      <c r="H51" t="s">
        <v>130</v>
      </c>
      <c r="I51">
        <v>32</v>
      </c>
      <c r="J51" t="s">
        <v>18</v>
      </c>
    </row>
    <row r="52" spans="1:10" x14ac:dyDescent="0.35">
      <c r="A52" t="s">
        <v>167</v>
      </c>
      <c r="B52" t="s">
        <v>41</v>
      </c>
      <c r="C52" t="s">
        <v>21</v>
      </c>
      <c r="D52" t="s">
        <v>13</v>
      </c>
      <c r="E52" t="s">
        <v>31</v>
      </c>
      <c r="F52" t="s">
        <v>69</v>
      </c>
      <c r="G52" t="s">
        <v>142</v>
      </c>
      <c r="H52" t="s">
        <v>147</v>
      </c>
      <c r="I52">
        <v>6</v>
      </c>
      <c r="J52" t="s">
        <v>92</v>
      </c>
    </row>
    <row r="53" spans="1:10" x14ac:dyDescent="0.35">
      <c r="A53" t="s">
        <v>168</v>
      </c>
      <c r="B53" t="s">
        <v>162</v>
      </c>
      <c r="C53" t="s">
        <v>108</v>
      </c>
      <c r="D53" t="s">
        <v>68</v>
      </c>
      <c r="E53" t="s">
        <v>14</v>
      </c>
      <c r="F53" t="s">
        <v>15</v>
      </c>
      <c r="G53" t="s">
        <v>90</v>
      </c>
      <c r="H53" t="s">
        <v>169</v>
      </c>
      <c r="I53">
        <v>34</v>
      </c>
      <c r="J53" t="s">
        <v>92</v>
      </c>
    </row>
    <row r="54" spans="1:10" x14ac:dyDescent="0.35">
      <c r="A54" t="s">
        <v>170</v>
      </c>
      <c r="B54" t="s">
        <v>113</v>
      </c>
      <c r="C54" t="s">
        <v>125</v>
      </c>
      <c r="D54" t="s">
        <v>68</v>
      </c>
      <c r="E54" t="s">
        <v>14</v>
      </c>
      <c r="F54" t="s">
        <v>56</v>
      </c>
      <c r="G54" t="s">
        <v>137</v>
      </c>
      <c r="H54" t="s">
        <v>95</v>
      </c>
      <c r="I54">
        <v>19</v>
      </c>
      <c r="J54" t="s">
        <v>39</v>
      </c>
    </row>
    <row r="55" spans="1:10" x14ac:dyDescent="0.35">
      <c r="A55" t="s">
        <v>171</v>
      </c>
      <c r="B55" t="s">
        <v>80</v>
      </c>
      <c r="C55" t="s">
        <v>108</v>
      </c>
      <c r="D55" t="s">
        <v>30</v>
      </c>
      <c r="E55" t="s">
        <v>31</v>
      </c>
      <c r="F55" t="s">
        <v>15</v>
      </c>
      <c r="G55" t="s">
        <v>32</v>
      </c>
      <c r="H55" t="s">
        <v>70</v>
      </c>
      <c r="I55">
        <v>62</v>
      </c>
      <c r="J55" t="s">
        <v>26</v>
      </c>
    </row>
    <row r="56" spans="1:10" x14ac:dyDescent="0.35">
      <c r="A56" t="s">
        <v>172</v>
      </c>
      <c r="B56" t="s">
        <v>173</v>
      </c>
      <c r="C56" t="s">
        <v>125</v>
      </c>
      <c r="D56" t="s">
        <v>68</v>
      </c>
      <c r="E56" t="s">
        <v>51</v>
      </c>
      <c r="F56" t="s">
        <v>69</v>
      </c>
      <c r="G56" t="s">
        <v>47</v>
      </c>
      <c r="H56" t="s">
        <v>70</v>
      </c>
      <c r="I56">
        <v>16</v>
      </c>
      <c r="J56" t="s">
        <v>26</v>
      </c>
    </row>
    <row r="57" spans="1:10" x14ac:dyDescent="0.35">
      <c r="A57" t="s">
        <v>174</v>
      </c>
      <c r="B57" t="s">
        <v>120</v>
      </c>
      <c r="C57" t="s">
        <v>50</v>
      </c>
      <c r="D57" t="s">
        <v>36</v>
      </c>
      <c r="E57" t="s">
        <v>51</v>
      </c>
      <c r="F57" t="s">
        <v>117</v>
      </c>
      <c r="G57" t="s">
        <v>77</v>
      </c>
      <c r="H57" t="s">
        <v>78</v>
      </c>
      <c r="I57">
        <v>72</v>
      </c>
      <c r="J57" t="s">
        <v>39</v>
      </c>
    </row>
    <row r="58" spans="1:10" x14ac:dyDescent="0.35">
      <c r="A58" t="s">
        <v>175</v>
      </c>
      <c r="B58" t="s">
        <v>89</v>
      </c>
      <c r="C58" t="s">
        <v>103</v>
      </c>
      <c r="D58" t="s">
        <v>68</v>
      </c>
      <c r="E58" t="s">
        <v>51</v>
      </c>
      <c r="F58" t="s">
        <v>56</v>
      </c>
      <c r="G58" t="s">
        <v>111</v>
      </c>
      <c r="H58" t="s">
        <v>84</v>
      </c>
      <c r="I58">
        <v>12</v>
      </c>
      <c r="J58" t="s">
        <v>18</v>
      </c>
    </row>
    <row r="59" spans="1:10" x14ac:dyDescent="0.35">
      <c r="A59" t="s">
        <v>176</v>
      </c>
      <c r="B59" t="s">
        <v>173</v>
      </c>
      <c r="C59" t="s">
        <v>29</v>
      </c>
      <c r="D59" t="s">
        <v>13</v>
      </c>
      <c r="E59" t="s">
        <v>31</v>
      </c>
      <c r="F59" t="s">
        <v>117</v>
      </c>
      <c r="G59" t="s">
        <v>177</v>
      </c>
      <c r="H59" t="s">
        <v>178</v>
      </c>
      <c r="I59">
        <v>12</v>
      </c>
      <c r="J59" t="s">
        <v>39</v>
      </c>
    </row>
    <row r="60" spans="1:10" x14ac:dyDescent="0.35">
      <c r="A60" t="s">
        <v>179</v>
      </c>
      <c r="B60" t="s">
        <v>158</v>
      </c>
      <c r="C60" t="s">
        <v>21</v>
      </c>
      <c r="D60" t="s">
        <v>62</v>
      </c>
      <c r="E60" t="s">
        <v>31</v>
      </c>
      <c r="F60" t="s">
        <v>23</v>
      </c>
      <c r="G60" t="s">
        <v>84</v>
      </c>
      <c r="H60" t="s">
        <v>177</v>
      </c>
      <c r="I60">
        <v>62</v>
      </c>
      <c r="J60" t="s">
        <v>18</v>
      </c>
    </row>
    <row r="61" spans="1:10" x14ac:dyDescent="0.35">
      <c r="A61" t="s">
        <v>180</v>
      </c>
      <c r="B61" t="s">
        <v>145</v>
      </c>
      <c r="C61" t="s">
        <v>21</v>
      </c>
      <c r="D61" t="s">
        <v>13</v>
      </c>
      <c r="E61" t="s">
        <v>51</v>
      </c>
      <c r="F61" t="s">
        <v>15</v>
      </c>
      <c r="G61" t="s">
        <v>70</v>
      </c>
      <c r="H61" t="s">
        <v>70</v>
      </c>
      <c r="I61">
        <v>36</v>
      </c>
      <c r="J61" t="s">
        <v>39</v>
      </c>
    </row>
    <row r="62" spans="1:10" x14ac:dyDescent="0.35">
      <c r="A62" t="s">
        <v>181</v>
      </c>
      <c r="B62" t="s">
        <v>182</v>
      </c>
      <c r="C62" t="s">
        <v>123</v>
      </c>
      <c r="D62" t="s">
        <v>62</v>
      </c>
      <c r="E62" t="s">
        <v>31</v>
      </c>
      <c r="F62" t="s">
        <v>117</v>
      </c>
      <c r="G62" t="s">
        <v>142</v>
      </c>
      <c r="H62" t="s">
        <v>147</v>
      </c>
      <c r="I62">
        <v>15</v>
      </c>
      <c r="J62" t="s">
        <v>26</v>
      </c>
    </row>
    <row r="63" spans="1:10" x14ac:dyDescent="0.35">
      <c r="A63" t="s">
        <v>183</v>
      </c>
      <c r="B63" t="s">
        <v>41</v>
      </c>
      <c r="C63" t="s">
        <v>76</v>
      </c>
      <c r="D63" t="s">
        <v>22</v>
      </c>
      <c r="E63" t="s">
        <v>51</v>
      </c>
      <c r="F63" t="s">
        <v>63</v>
      </c>
      <c r="G63" t="s">
        <v>58</v>
      </c>
      <c r="H63" t="s">
        <v>184</v>
      </c>
      <c r="I63">
        <v>51</v>
      </c>
      <c r="J63" t="s">
        <v>18</v>
      </c>
    </row>
    <row r="64" spans="1:10" x14ac:dyDescent="0.35">
      <c r="A64" t="s">
        <v>185</v>
      </c>
      <c r="B64" t="s">
        <v>113</v>
      </c>
      <c r="C64" t="s">
        <v>45</v>
      </c>
      <c r="D64" t="s">
        <v>62</v>
      </c>
      <c r="E64" t="s">
        <v>31</v>
      </c>
      <c r="F64" t="s">
        <v>15</v>
      </c>
      <c r="G64" t="s">
        <v>77</v>
      </c>
      <c r="H64" t="s">
        <v>53</v>
      </c>
      <c r="I64">
        <v>37</v>
      </c>
      <c r="J64" t="s">
        <v>18</v>
      </c>
    </row>
    <row r="65" spans="1:10" x14ac:dyDescent="0.35">
      <c r="A65" t="s">
        <v>186</v>
      </c>
      <c r="B65" t="s">
        <v>44</v>
      </c>
      <c r="C65" t="s">
        <v>114</v>
      </c>
      <c r="D65" t="s">
        <v>22</v>
      </c>
      <c r="E65" t="s">
        <v>51</v>
      </c>
      <c r="F65" t="s">
        <v>23</v>
      </c>
      <c r="G65" t="s">
        <v>16</v>
      </c>
      <c r="H65" t="s">
        <v>139</v>
      </c>
      <c r="I65">
        <v>45</v>
      </c>
      <c r="J65" t="s">
        <v>39</v>
      </c>
    </row>
    <row r="66" spans="1:10" x14ac:dyDescent="0.35">
      <c r="A66" t="s">
        <v>187</v>
      </c>
      <c r="B66" t="s">
        <v>188</v>
      </c>
      <c r="C66" t="s">
        <v>29</v>
      </c>
      <c r="D66" t="s">
        <v>36</v>
      </c>
      <c r="E66" t="s">
        <v>51</v>
      </c>
      <c r="F66" t="s">
        <v>56</v>
      </c>
      <c r="G66" t="s">
        <v>83</v>
      </c>
      <c r="H66" t="s">
        <v>118</v>
      </c>
      <c r="I66">
        <v>12</v>
      </c>
      <c r="J66" t="s">
        <v>26</v>
      </c>
    </row>
    <row r="67" spans="1:10" x14ac:dyDescent="0.35">
      <c r="A67" t="s">
        <v>189</v>
      </c>
      <c r="B67" t="s">
        <v>113</v>
      </c>
      <c r="C67" t="s">
        <v>190</v>
      </c>
      <c r="D67" t="s">
        <v>22</v>
      </c>
      <c r="E67" t="s">
        <v>14</v>
      </c>
      <c r="F67" t="s">
        <v>56</v>
      </c>
      <c r="G67" t="s">
        <v>129</v>
      </c>
      <c r="H67" t="s">
        <v>153</v>
      </c>
      <c r="I67">
        <v>38</v>
      </c>
      <c r="J67" t="s">
        <v>18</v>
      </c>
    </row>
    <row r="68" spans="1:10" x14ac:dyDescent="0.35">
      <c r="A68" t="s">
        <v>191</v>
      </c>
      <c r="B68" t="s">
        <v>158</v>
      </c>
      <c r="C68" t="s">
        <v>50</v>
      </c>
      <c r="D68" t="s">
        <v>30</v>
      </c>
      <c r="E68" t="s">
        <v>31</v>
      </c>
      <c r="F68" t="s">
        <v>117</v>
      </c>
      <c r="G68" t="s">
        <v>37</v>
      </c>
      <c r="H68" t="s">
        <v>90</v>
      </c>
      <c r="I68">
        <v>67</v>
      </c>
      <c r="J68" t="s">
        <v>39</v>
      </c>
    </row>
    <row r="69" spans="1:10" x14ac:dyDescent="0.35">
      <c r="A69" t="s">
        <v>192</v>
      </c>
      <c r="B69" t="s">
        <v>107</v>
      </c>
      <c r="C69" t="s">
        <v>67</v>
      </c>
      <c r="D69" t="s">
        <v>62</v>
      </c>
      <c r="E69" t="s">
        <v>14</v>
      </c>
      <c r="F69" t="s">
        <v>23</v>
      </c>
      <c r="G69" t="s">
        <v>83</v>
      </c>
      <c r="H69" t="s">
        <v>118</v>
      </c>
      <c r="I69">
        <v>22</v>
      </c>
      <c r="J69" t="s">
        <v>18</v>
      </c>
    </row>
    <row r="70" spans="1:10" x14ac:dyDescent="0.35">
      <c r="A70" t="s">
        <v>193</v>
      </c>
      <c r="B70" t="s">
        <v>80</v>
      </c>
      <c r="C70" t="s">
        <v>42</v>
      </c>
      <c r="D70" t="s">
        <v>68</v>
      </c>
      <c r="E70" t="s">
        <v>14</v>
      </c>
      <c r="F70" t="s">
        <v>56</v>
      </c>
      <c r="G70" t="s">
        <v>127</v>
      </c>
      <c r="H70" t="s">
        <v>194</v>
      </c>
      <c r="I70">
        <v>15</v>
      </c>
      <c r="J70" t="s">
        <v>39</v>
      </c>
    </row>
    <row r="71" spans="1:10" x14ac:dyDescent="0.35">
      <c r="A71" t="s">
        <v>195</v>
      </c>
      <c r="B71" t="s">
        <v>110</v>
      </c>
      <c r="C71" t="s">
        <v>99</v>
      </c>
      <c r="D71" t="s">
        <v>30</v>
      </c>
      <c r="E71" t="s">
        <v>31</v>
      </c>
      <c r="F71" t="s">
        <v>23</v>
      </c>
      <c r="G71" t="s">
        <v>52</v>
      </c>
      <c r="H71" t="s">
        <v>53</v>
      </c>
      <c r="I71">
        <v>45</v>
      </c>
      <c r="J71" t="s">
        <v>18</v>
      </c>
    </row>
    <row r="72" spans="1:10" x14ac:dyDescent="0.35">
      <c r="A72" t="s">
        <v>196</v>
      </c>
      <c r="B72" t="s">
        <v>86</v>
      </c>
      <c r="C72" t="s">
        <v>108</v>
      </c>
      <c r="D72" t="s">
        <v>36</v>
      </c>
      <c r="E72" t="s">
        <v>31</v>
      </c>
      <c r="F72" t="s">
        <v>15</v>
      </c>
      <c r="G72" t="s">
        <v>137</v>
      </c>
      <c r="H72" t="s">
        <v>53</v>
      </c>
      <c r="I72">
        <v>5</v>
      </c>
      <c r="J72" t="s">
        <v>18</v>
      </c>
    </row>
    <row r="73" spans="1:10" x14ac:dyDescent="0.35">
      <c r="A73" t="s">
        <v>197</v>
      </c>
      <c r="B73" t="s">
        <v>160</v>
      </c>
      <c r="C73" t="s">
        <v>125</v>
      </c>
      <c r="D73" t="s">
        <v>30</v>
      </c>
      <c r="E73" t="s">
        <v>14</v>
      </c>
      <c r="F73" t="s">
        <v>117</v>
      </c>
      <c r="G73" t="s">
        <v>77</v>
      </c>
      <c r="H73" t="s">
        <v>70</v>
      </c>
      <c r="I73">
        <v>20</v>
      </c>
      <c r="J73" t="s">
        <v>26</v>
      </c>
    </row>
    <row r="74" spans="1:10" x14ac:dyDescent="0.35">
      <c r="A74" t="s">
        <v>198</v>
      </c>
      <c r="B74" t="s">
        <v>66</v>
      </c>
      <c r="C74" t="s">
        <v>29</v>
      </c>
      <c r="D74" t="s">
        <v>30</v>
      </c>
      <c r="E74" t="s">
        <v>31</v>
      </c>
      <c r="F74" t="s">
        <v>117</v>
      </c>
      <c r="G74" t="s">
        <v>142</v>
      </c>
      <c r="H74" t="s">
        <v>178</v>
      </c>
      <c r="J74" t="s">
        <v>39</v>
      </c>
    </row>
    <row r="75" spans="1:10" x14ac:dyDescent="0.35">
      <c r="A75" t="s">
        <v>199</v>
      </c>
      <c r="B75" t="s">
        <v>60</v>
      </c>
      <c r="C75" t="s">
        <v>114</v>
      </c>
      <c r="D75" t="s">
        <v>46</v>
      </c>
      <c r="E75" t="s">
        <v>31</v>
      </c>
      <c r="F75" t="s">
        <v>63</v>
      </c>
      <c r="G75" t="s">
        <v>200</v>
      </c>
      <c r="H75" t="s">
        <v>90</v>
      </c>
      <c r="I75">
        <v>2</v>
      </c>
      <c r="J75" t="s">
        <v>26</v>
      </c>
    </row>
    <row r="76" spans="1:10" x14ac:dyDescent="0.35">
      <c r="A76" t="s">
        <v>201</v>
      </c>
      <c r="B76" t="s">
        <v>202</v>
      </c>
      <c r="C76" t="s">
        <v>108</v>
      </c>
      <c r="D76" t="s">
        <v>82</v>
      </c>
      <c r="E76" t="s">
        <v>31</v>
      </c>
      <c r="F76" t="s">
        <v>56</v>
      </c>
      <c r="G76" t="s">
        <v>153</v>
      </c>
      <c r="H76" t="s">
        <v>70</v>
      </c>
      <c r="I76">
        <v>39</v>
      </c>
      <c r="J76" t="s">
        <v>92</v>
      </c>
    </row>
    <row r="77" spans="1:10" x14ac:dyDescent="0.35">
      <c r="A77" t="s">
        <v>203</v>
      </c>
      <c r="B77" t="s">
        <v>110</v>
      </c>
      <c r="C77" t="s">
        <v>12</v>
      </c>
      <c r="D77" t="s">
        <v>82</v>
      </c>
      <c r="E77" t="s">
        <v>51</v>
      </c>
      <c r="F77" t="s">
        <v>117</v>
      </c>
      <c r="G77" t="s">
        <v>142</v>
      </c>
      <c r="H77" t="s">
        <v>147</v>
      </c>
      <c r="I77">
        <v>16</v>
      </c>
      <c r="J77" t="s">
        <v>92</v>
      </c>
    </row>
    <row r="78" spans="1:10" x14ac:dyDescent="0.35">
      <c r="A78" t="s">
        <v>204</v>
      </c>
      <c r="B78" t="s">
        <v>35</v>
      </c>
      <c r="C78" t="s">
        <v>76</v>
      </c>
      <c r="D78" t="s">
        <v>68</v>
      </c>
      <c r="E78" t="s">
        <v>14</v>
      </c>
      <c r="F78" t="s">
        <v>63</v>
      </c>
      <c r="G78" t="s">
        <v>127</v>
      </c>
      <c r="H78" t="s">
        <v>127</v>
      </c>
      <c r="I78">
        <v>54</v>
      </c>
      <c r="J78" t="s">
        <v>18</v>
      </c>
    </row>
    <row r="79" spans="1:10" x14ac:dyDescent="0.35">
      <c r="A79" t="s">
        <v>205</v>
      </c>
      <c r="B79" t="s">
        <v>206</v>
      </c>
      <c r="C79" t="s">
        <v>45</v>
      </c>
      <c r="D79" t="s">
        <v>30</v>
      </c>
      <c r="E79" t="s">
        <v>51</v>
      </c>
      <c r="F79" t="s">
        <v>56</v>
      </c>
      <c r="G79" t="s">
        <v>90</v>
      </c>
      <c r="H79" t="s">
        <v>90</v>
      </c>
      <c r="I79">
        <v>2</v>
      </c>
      <c r="J79" t="s">
        <v>18</v>
      </c>
    </row>
    <row r="80" spans="1:10" x14ac:dyDescent="0.35">
      <c r="A80" t="s">
        <v>207</v>
      </c>
      <c r="B80" t="s">
        <v>102</v>
      </c>
      <c r="C80" t="s">
        <v>123</v>
      </c>
      <c r="D80" t="s">
        <v>36</v>
      </c>
      <c r="E80" t="s">
        <v>31</v>
      </c>
      <c r="F80" t="s">
        <v>63</v>
      </c>
      <c r="G80" t="s">
        <v>142</v>
      </c>
      <c r="H80" t="s">
        <v>147</v>
      </c>
      <c r="I80">
        <v>21</v>
      </c>
      <c r="J80" t="s">
        <v>39</v>
      </c>
    </row>
    <row r="81" spans="1:10" x14ac:dyDescent="0.35">
      <c r="A81" t="s">
        <v>208</v>
      </c>
      <c r="B81" t="s">
        <v>89</v>
      </c>
      <c r="C81" t="s">
        <v>114</v>
      </c>
      <c r="D81" t="s">
        <v>13</v>
      </c>
      <c r="E81" t="s">
        <v>14</v>
      </c>
      <c r="F81" t="s">
        <v>23</v>
      </c>
      <c r="G81" t="s">
        <v>17</v>
      </c>
      <c r="H81" t="s">
        <v>91</v>
      </c>
      <c r="I81">
        <v>25</v>
      </c>
      <c r="J81" t="s">
        <v>26</v>
      </c>
    </row>
    <row r="82" spans="1:10" x14ac:dyDescent="0.35">
      <c r="A82" t="s">
        <v>209</v>
      </c>
      <c r="B82" t="s">
        <v>72</v>
      </c>
      <c r="C82" t="s">
        <v>190</v>
      </c>
      <c r="D82" t="s">
        <v>46</v>
      </c>
      <c r="E82" t="s">
        <v>51</v>
      </c>
      <c r="F82" t="s">
        <v>23</v>
      </c>
      <c r="G82" t="s">
        <v>77</v>
      </c>
      <c r="H82" t="s">
        <v>78</v>
      </c>
      <c r="I82">
        <v>21</v>
      </c>
      <c r="J82" t="s">
        <v>26</v>
      </c>
    </row>
    <row r="83" spans="1:10" x14ac:dyDescent="0.35">
      <c r="A83" t="s">
        <v>210</v>
      </c>
      <c r="B83" t="s">
        <v>75</v>
      </c>
      <c r="C83" t="s">
        <v>21</v>
      </c>
      <c r="D83" t="s">
        <v>68</v>
      </c>
      <c r="E83" t="s">
        <v>14</v>
      </c>
      <c r="F83" t="s">
        <v>69</v>
      </c>
      <c r="G83" t="s">
        <v>111</v>
      </c>
      <c r="H83" t="s">
        <v>118</v>
      </c>
      <c r="I83">
        <v>56</v>
      </c>
      <c r="J83" t="s">
        <v>18</v>
      </c>
    </row>
    <row r="84" spans="1:10" x14ac:dyDescent="0.35">
      <c r="A84" t="s">
        <v>211</v>
      </c>
      <c r="B84" t="s">
        <v>212</v>
      </c>
      <c r="C84" t="s">
        <v>190</v>
      </c>
      <c r="D84" t="s">
        <v>68</v>
      </c>
      <c r="E84" t="s">
        <v>31</v>
      </c>
      <c r="F84" t="s">
        <v>69</v>
      </c>
      <c r="G84" t="s">
        <v>57</v>
      </c>
      <c r="H84" t="s">
        <v>58</v>
      </c>
      <c r="I84">
        <v>28</v>
      </c>
      <c r="J84" t="s">
        <v>18</v>
      </c>
    </row>
    <row r="85" spans="1:10" x14ac:dyDescent="0.35">
      <c r="A85" t="s">
        <v>213</v>
      </c>
      <c r="B85" t="s">
        <v>72</v>
      </c>
      <c r="C85" t="s">
        <v>76</v>
      </c>
      <c r="D85" t="s">
        <v>13</v>
      </c>
      <c r="E85" t="s">
        <v>31</v>
      </c>
      <c r="F85" t="s">
        <v>117</v>
      </c>
      <c r="G85" t="s">
        <v>32</v>
      </c>
      <c r="H85" t="s">
        <v>87</v>
      </c>
      <c r="I85">
        <v>9</v>
      </c>
      <c r="J85" t="s">
        <v>18</v>
      </c>
    </row>
    <row r="86" spans="1:10" x14ac:dyDescent="0.35">
      <c r="A86" t="s">
        <v>214</v>
      </c>
      <c r="B86" t="s">
        <v>89</v>
      </c>
      <c r="C86" t="s">
        <v>190</v>
      </c>
      <c r="D86" t="s">
        <v>22</v>
      </c>
      <c r="E86" t="s">
        <v>51</v>
      </c>
      <c r="F86" t="s">
        <v>15</v>
      </c>
      <c r="G86" t="s">
        <v>17</v>
      </c>
      <c r="H86" t="s">
        <v>215</v>
      </c>
      <c r="I86">
        <v>6</v>
      </c>
      <c r="J86" t="s">
        <v>92</v>
      </c>
    </row>
    <row r="87" spans="1:10" x14ac:dyDescent="0.35">
      <c r="A87" t="s">
        <v>216</v>
      </c>
      <c r="B87" t="s">
        <v>89</v>
      </c>
      <c r="C87" t="s">
        <v>42</v>
      </c>
      <c r="D87" t="s">
        <v>62</v>
      </c>
      <c r="E87" t="s">
        <v>14</v>
      </c>
      <c r="F87" t="s">
        <v>15</v>
      </c>
      <c r="G87" t="s">
        <v>57</v>
      </c>
      <c r="H87" t="s">
        <v>90</v>
      </c>
      <c r="I87">
        <v>69</v>
      </c>
      <c r="J87" t="s">
        <v>18</v>
      </c>
    </row>
    <row r="88" spans="1:10" x14ac:dyDescent="0.35">
      <c r="A88" t="s">
        <v>217</v>
      </c>
      <c r="B88" t="s">
        <v>60</v>
      </c>
      <c r="C88" t="s">
        <v>76</v>
      </c>
      <c r="D88" t="s">
        <v>36</v>
      </c>
      <c r="E88" t="s">
        <v>51</v>
      </c>
      <c r="F88" t="s">
        <v>15</v>
      </c>
      <c r="G88" t="s">
        <v>111</v>
      </c>
      <c r="H88" t="s">
        <v>147</v>
      </c>
      <c r="I88">
        <v>9</v>
      </c>
      <c r="J88" t="s">
        <v>39</v>
      </c>
    </row>
    <row r="89" spans="1:10" x14ac:dyDescent="0.35">
      <c r="A89" t="s">
        <v>218</v>
      </c>
      <c r="B89" t="s">
        <v>113</v>
      </c>
      <c r="C89" t="s">
        <v>76</v>
      </c>
      <c r="D89" t="s">
        <v>62</v>
      </c>
      <c r="E89" t="s">
        <v>31</v>
      </c>
      <c r="F89" t="s">
        <v>117</v>
      </c>
      <c r="G89" t="s">
        <v>24</v>
      </c>
      <c r="H89" t="s">
        <v>58</v>
      </c>
      <c r="J89" t="s">
        <v>92</v>
      </c>
    </row>
    <row r="90" spans="1:10" x14ac:dyDescent="0.35">
      <c r="A90" t="s">
        <v>219</v>
      </c>
      <c r="B90" t="s">
        <v>220</v>
      </c>
      <c r="C90" t="s">
        <v>125</v>
      </c>
      <c r="D90" t="s">
        <v>30</v>
      </c>
      <c r="E90" t="s">
        <v>14</v>
      </c>
      <c r="F90" t="s">
        <v>15</v>
      </c>
      <c r="G90" t="s">
        <v>153</v>
      </c>
      <c r="H90" t="s">
        <v>78</v>
      </c>
      <c r="J90" t="s">
        <v>18</v>
      </c>
    </row>
    <row r="91" spans="1:10" x14ac:dyDescent="0.35">
      <c r="A91" t="s">
        <v>221</v>
      </c>
      <c r="B91" t="s">
        <v>156</v>
      </c>
      <c r="C91" t="s">
        <v>45</v>
      </c>
      <c r="D91" t="s">
        <v>62</v>
      </c>
      <c r="E91" t="s">
        <v>31</v>
      </c>
      <c r="F91" t="s">
        <v>15</v>
      </c>
      <c r="G91" t="s">
        <v>104</v>
      </c>
      <c r="H91" t="s">
        <v>38</v>
      </c>
      <c r="I91">
        <v>20</v>
      </c>
      <c r="J91" t="s">
        <v>39</v>
      </c>
    </row>
    <row r="92" spans="1:10" x14ac:dyDescent="0.35">
      <c r="A92" t="s">
        <v>222</v>
      </c>
      <c r="B92" t="s">
        <v>151</v>
      </c>
      <c r="C92" t="s">
        <v>29</v>
      </c>
      <c r="D92" t="s">
        <v>46</v>
      </c>
      <c r="E92" t="s">
        <v>31</v>
      </c>
      <c r="F92" t="s">
        <v>15</v>
      </c>
      <c r="G92" t="s">
        <v>52</v>
      </c>
      <c r="H92" t="s">
        <v>223</v>
      </c>
      <c r="I92">
        <v>8</v>
      </c>
      <c r="J92" t="s">
        <v>92</v>
      </c>
    </row>
    <row r="93" spans="1:10" x14ac:dyDescent="0.35">
      <c r="A93" t="s">
        <v>224</v>
      </c>
      <c r="B93" t="s">
        <v>160</v>
      </c>
      <c r="C93" t="s">
        <v>108</v>
      </c>
      <c r="D93" t="s">
        <v>22</v>
      </c>
      <c r="E93" t="s">
        <v>51</v>
      </c>
      <c r="F93" t="s">
        <v>69</v>
      </c>
      <c r="G93" t="s">
        <v>57</v>
      </c>
      <c r="H93" t="s">
        <v>215</v>
      </c>
      <c r="I93">
        <v>6</v>
      </c>
      <c r="J93" t="s">
        <v>92</v>
      </c>
    </row>
    <row r="94" spans="1:10" x14ac:dyDescent="0.35">
      <c r="A94" t="s">
        <v>225</v>
      </c>
      <c r="B94" t="s">
        <v>173</v>
      </c>
      <c r="C94" t="s">
        <v>125</v>
      </c>
      <c r="D94" t="s">
        <v>13</v>
      </c>
      <c r="E94" t="s">
        <v>14</v>
      </c>
      <c r="F94" t="s">
        <v>63</v>
      </c>
      <c r="G94" t="s">
        <v>200</v>
      </c>
      <c r="H94" t="s">
        <v>127</v>
      </c>
      <c r="I94">
        <v>48</v>
      </c>
      <c r="J94" t="s">
        <v>39</v>
      </c>
    </row>
    <row r="95" spans="1:10" x14ac:dyDescent="0.35">
      <c r="A95" t="s">
        <v>226</v>
      </c>
      <c r="B95" t="s">
        <v>212</v>
      </c>
      <c r="C95" t="s">
        <v>45</v>
      </c>
      <c r="D95" t="s">
        <v>82</v>
      </c>
      <c r="E95" t="s">
        <v>51</v>
      </c>
      <c r="F95" t="s">
        <v>56</v>
      </c>
      <c r="G95" t="s">
        <v>90</v>
      </c>
      <c r="H95" t="s">
        <v>121</v>
      </c>
      <c r="I95">
        <v>60</v>
      </c>
      <c r="J95" t="s">
        <v>18</v>
      </c>
    </row>
    <row r="96" spans="1:10" x14ac:dyDescent="0.35">
      <c r="A96" t="s">
        <v>227</v>
      </c>
      <c r="B96" t="s">
        <v>86</v>
      </c>
      <c r="C96" t="s">
        <v>190</v>
      </c>
      <c r="D96" t="s">
        <v>30</v>
      </c>
      <c r="E96" t="s">
        <v>31</v>
      </c>
      <c r="F96" t="s">
        <v>117</v>
      </c>
      <c r="G96" t="s">
        <v>84</v>
      </c>
      <c r="H96" t="s">
        <v>139</v>
      </c>
      <c r="I96">
        <v>36</v>
      </c>
      <c r="J96" t="s">
        <v>92</v>
      </c>
    </row>
    <row r="97" spans="1:10" x14ac:dyDescent="0.35">
      <c r="A97" t="s">
        <v>228</v>
      </c>
      <c r="B97" t="s">
        <v>229</v>
      </c>
      <c r="C97" t="s">
        <v>114</v>
      </c>
      <c r="D97" t="s">
        <v>68</v>
      </c>
      <c r="E97" t="s">
        <v>31</v>
      </c>
      <c r="F97" t="s">
        <v>15</v>
      </c>
      <c r="G97" t="s">
        <v>142</v>
      </c>
      <c r="H97" t="s">
        <v>147</v>
      </c>
      <c r="I97">
        <v>53</v>
      </c>
      <c r="J97" t="s">
        <v>92</v>
      </c>
    </row>
    <row r="98" spans="1:10" x14ac:dyDescent="0.35">
      <c r="A98" t="s">
        <v>230</v>
      </c>
      <c r="B98" t="s">
        <v>35</v>
      </c>
      <c r="C98" t="s">
        <v>190</v>
      </c>
      <c r="D98" t="s">
        <v>82</v>
      </c>
      <c r="E98" t="s">
        <v>31</v>
      </c>
      <c r="F98" t="s">
        <v>117</v>
      </c>
      <c r="G98" t="s">
        <v>100</v>
      </c>
      <c r="H98" t="s">
        <v>17</v>
      </c>
      <c r="J98" t="s">
        <v>39</v>
      </c>
    </row>
    <row r="99" spans="1:10" x14ac:dyDescent="0.35">
      <c r="A99" t="s">
        <v>231</v>
      </c>
      <c r="B99" t="s">
        <v>28</v>
      </c>
      <c r="C99" t="s">
        <v>29</v>
      </c>
      <c r="D99" t="s">
        <v>30</v>
      </c>
      <c r="E99" t="s">
        <v>14</v>
      </c>
      <c r="F99" t="s">
        <v>63</v>
      </c>
      <c r="G99" t="s">
        <v>215</v>
      </c>
      <c r="H99" t="s">
        <v>91</v>
      </c>
      <c r="I99">
        <v>31</v>
      </c>
      <c r="J99" t="s">
        <v>39</v>
      </c>
    </row>
    <row r="100" spans="1:10" x14ac:dyDescent="0.35">
      <c r="A100" t="s">
        <v>232</v>
      </c>
      <c r="B100" t="s">
        <v>233</v>
      </c>
      <c r="C100" t="s">
        <v>108</v>
      </c>
      <c r="D100" t="s">
        <v>13</v>
      </c>
      <c r="E100" t="s">
        <v>14</v>
      </c>
      <c r="F100" t="s">
        <v>15</v>
      </c>
      <c r="G100" t="s">
        <v>57</v>
      </c>
      <c r="H100" t="s">
        <v>121</v>
      </c>
      <c r="I100">
        <v>60</v>
      </c>
      <c r="J100" t="s">
        <v>39</v>
      </c>
    </row>
    <row r="101" spans="1:10" x14ac:dyDescent="0.35">
      <c r="A101" t="s">
        <v>234</v>
      </c>
      <c r="B101" t="s">
        <v>75</v>
      </c>
      <c r="C101" t="s">
        <v>99</v>
      </c>
      <c r="D101" t="s">
        <v>46</v>
      </c>
      <c r="E101" t="s">
        <v>31</v>
      </c>
      <c r="F101" t="s">
        <v>69</v>
      </c>
      <c r="G101" t="s">
        <v>137</v>
      </c>
      <c r="H101" t="s">
        <v>129</v>
      </c>
      <c r="I101">
        <v>39</v>
      </c>
      <c r="J101" t="s">
        <v>92</v>
      </c>
    </row>
    <row r="102" spans="1:10" x14ac:dyDescent="0.35">
      <c r="A102" t="s">
        <v>235</v>
      </c>
      <c r="B102" t="s">
        <v>188</v>
      </c>
      <c r="C102" t="s">
        <v>45</v>
      </c>
      <c r="D102" t="s">
        <v>13</v>
      </c>
      <c r="E102" t="s">
        <v>14</v>
      </c>
      <c r="F102" t="s">
        <v>15</v>
      </c>
      <c r="G102" t="s">
        <v>215</v>
      </c>
      <c r="H102" t="s">
        <v>91</v>
      </c>
      <c r="I102">
        <v>48</v>
      </c>
      <c r="J102" t="s">
        <v>26</v>
      </c>
    </row>
    <row r="103" spans="1:10" x14ac:dyDescent="0.35">
      <c r="A103" t="s">
        <v>236</v>
      </c>
      <c r="B103" t="s">
        <v>60</v>
      </c>
      <c r="C103" t="s">
        <v>108</v>
      </c>
      <c r="D103" t="s">
        <v>13</v>
      </c>
      <c r="E103" t="s">
        <v>51</v>
      </c>
      <c r="F103" t="s">
        <v>69</v>
      </c>
      <c r="G103" t="s">
        <v>127</v>
      </c>
      <c r="H103" t="s">
        <v>194</v>
      </c>
      <c r="I103">
        <v>12</v>
      </c>
      <c r="J103" t="s">
        <v>39</v>
      </c>
    </row>
    <row r="104" spans="1:10" x14ac:dyDescent="0.35">
      <c r="A104" t="s">
        <v>237</v>
      </c>
      <c r="B104" t="s">
        <v>206</v>
      </c>
      <c r="C104" t="s">
        <v>42</v>
      </c>
      <c r="D104" t="s">
        <v>82</v>
      </c>
      <c r="E104" t="s">
        <v>51</v>
      </c>
      <c r="F104" t="s">
        <v>56</v>
      </c>
      <c r="G104" t="s">
        <v>177</v>
      </c>
      <c r="H104" t="s">
        <v>38</v>
      </c>
      <c r="I104">
        <v>64</v>
      </c>
      <c r="J104" t="s">
        <v>26</v>
      </c>
    </row>
    <row r="105" spans="1:10" x14ac:dyDescent="0.35">
      <c r="A105" t="s">
        <v>238</v>
      </c>
      <c r="B105" t="s">
        <v>233</v>
      </c>
      <c r="C105" t="s">
        <v>21</v>
      </c>
      <c r="D105" t="s">
        <v>68</v>
      </c>
      <c r="E105" t="s">
        <v>14</v>
      </c>
      <c r="F105" t="s">
        <v>56</v>
      </c>
      <c r="G105" t="s">
        <v>133</v>
      </c>
      <c r="H105" t="s">
        <v>127</v>
      </c>
      <c r="I105">
        <v>3</v>
      </c>
      <c r="J105" t="s">
        <v>39</v>
      </c>
    </row>
    <row r="106" spans="1:10" x14ac:dyDescent="0.35">
      <c r="A106" t="s">
        <v>239</v>
      </c>
      <c r="B106" t="s">
        <v>202</v>
      </c>
      <c r="C106" t="s">
        <v>50</v>
      </c>
      <c r="D106" t="s">
        <v>30</v>
      </c>
      <c r="E106" t="s">
        <v>51</v>
      </c>
      <c r="F106" t="s">
        <v>23</v>
      </c>
      <c r="G106" t="s">
        <v>32</v>
      </c>
      <c r="H106" t="s">
        <v>78</v>
      </c>
      <c r="I106">
        <v>72</v>
      </c>
      <c r="J106" t="s">
        <v>18</v>
      </c>
    </row>
    <row r="107" spans="1:10" x14ac:dyDescent="0.35">
      <c r="A107" t="s">
        <v>240</v>
      </c>
      <c r="B107" t="s">
        <v>110</v>
      </c>
      <c r="C107" t="s">
        <v>50</v>
      </c>
      <c r="D107" t="s">
        <v>68</v>
      </c>
      <c r="E107" t="s">
        <v>31</v>
      </c>
      <c r="F107" t="s">
        <v>56</v>
      </c>
      <c r="G107" t="s">
        <v>52</v>
      </c>
      <c r="H107" t="s">
        <v>223</v>
      </c>
      <c r="I107">
        <v>22</v>
      </c>
      <c r="J107" t="s">
        <v>26</v>
      </c>
    </row>
    <row r="108" spans="1:10" x14ac:dyDescent="0.35">
      <c r="A108" t="s">
        <v>241</v>
      </c>
      <c r="B108" t="s">
        <v>162</v>
      </c>
      <c r="C108" t="s">
        <v>242</v>
      </c>
      <c r="D108" t="s">
        <v>22</v>
      </c>
      <c r="E108" t="s">
        <v>14</v>
      </c>
      <c r="F108" t="s">
        <v>15</v>
      </c>
      <c r="G108" t="s">
        <v>70</v>
      </c>
      <c r="H108" t="s">
        <v>64</v>
      </c>
      <c r="I108">
        <v>37</v>
      </c>
      <c r="J108" t="s">
        <v>92</v>
      </c>
    </row>
    <row r="109" spans="1:10" x14ac:dyDescent="0.35">
      <c r="A109" t="s">
        <v>243</v>
      </c>
      <c r="B109" t="s">
        <v>110</v>
      </c>
      <c r="C109" t="s">
        <v>45</v>
      </c>
      <c r="D109" t="s">
        <v>22</v>
      </c>
      <c r="E109" t="s">
        <v>51</v>
      </c>
      <c r="F109" t="s">
        <v>63</v>
      </c>
      <c r="G109" t="s">
        <v>129</v>
      </c>
      <c r="H109" t="s">
        <v>153</v>
      </c>
      <c r="I109">
        <v>26</v>
      </c>
      <c r="J109" t="s">
        <v>26</v>
      </c>
    </row>
    <row r="110" spans="1:10" x14ac:dyDescent="0.35">
      <c r="A110" t="s">
        <v>244</v>
      </c>
      <c r="B110" t="s">
        <v>41</v>
      </c>
      <c r="C110" t="s">
        <v>50</v>
      </c>
      <c r="D110" t="s">
        <v>46</v>
      </c>
      <c r="E110" t="s">
        <v>51</v>
      </c>
      <c r="F110" t="s">
        <v>15</v>
      </c>
      <c r="G110" t="s">
        <v>133</v>
      </c>
      <c r="H110" t="s">
        <v>184</v>
      </c>
      <c r="I110">
        <v>38</v>
      </c>
      <c r="J110" t="s">
        <v>92</v>
      </c>
    </row>
    <row r="111" spans="1:10" x14ac:dyDescent="0.35">
      <c r="A111" t="s">
        <v>245</v>
      </c>
      <c r="B111" t="s">
        <v>28</v>
      </c>
      <c r="C111" t="s">
        <v>29</v>
      </c>
      <c r="D111" t="s">
        <v>46</v>
      </c>
      <c r="E111" t="s">
        <v>31</v>
      </c>
      <c r="F111" t="s">
        <v>63</v>
      </c>
      <c r="G111" t="s">
        <v>153</v>
      </c>
      <c r="H111" t="s">
        <v>78</v>
      </c>
      <c r="I111">
        <v>23</v>
      </c>
      <c r="J111" t="s">
        <v>26</v>
      </c>
    </row>
    <row r="112" spans="1:10" x14ac:dyDescent="0.35">
      <c r="A112" t="s">
        <v>246</v>
      </c>
      <c r="B112" t="s">
        <v>89</v>
      </c>
      <c r="C112" t="s">
        <v>76</v>
      </c>
      <c r="D112" t="s">
        <v>30</v>
      </c>
      <c r="E112" t="s">
        <v>31</v>
      </c>
      <c r="F112" t="s">
        <v>69</v>
      </c>
      <c r="G112" t="s">
        <v>77</v>
      </c>
      <c r="H112" t="s">
        <v>70</v>
      </c>
      <c r="I112">
        <v>12</v>
      </c>
      <c r="J112" t="s">
        <v>26</v>
      </c>
    </row>
    <row r="113" spans="1:10" x14ac:dyDescent="0.35">
      <c r="A113" t="s">
        <v>247</v>
      </c>
      <c r="B113" t="s">
        <v>160</v>
      </c>
      <c r="C113" t="s">
        <v>103</v>
      </c>
      <c r="D113" t="s">
        <v>13</v>
      </c>
      <c r="E113" t="s">
        <v>31</v>
      </c>
      <c r="F113" t="s">
        <v>63</v>
      </c>
      <c r="G113" t="s">
        <v>200</v>
      </c>
      <c r="H113" t="s">
        <v>91</v>
      </c>
      <c r="I113">
        <v>60</v>
      </c>
      <c r="J113" t="s">
        <v>18</v>
      </c>
    </row>
    <row r="114" spans="1:10" x14ac:dyDescent="0.35">
      <c r="A114" t="s">
        <v>248</v>
      </c>
      <c r="B114" t="s">
        <v>249</v>
      </c>
      <c r="C114" t="s">
        <v>103</v>
      </c>
      <c r="D114" t="s">
        <v>13</v>
      </c>
      <c r="E114" t="s">
        <v>51</v>
      </c>
      <c r="F114" t="s">
        <v>69</v>
      </c>
      <c r="G114" t="s">
        <v>153</v>
      </c>
      <c r="H114" t="s">
        <v>70</v>
      </c>
      <c r="I114">
        <v>28</v>
      </c>
      <c r="J114" t="s">
        <v>18</v>
      </c>
    </row>
    <row r="115" spans="1:10" x14ac:dyDescent="0.35">
      <c r="A115" t="s">
        <v>250</v>
      </c>
      <c r="B115" t="s">
        <v>80</v>
      </c>
      <c r="C115" t="s">
        <v>76</v>
      </c>
      <c r="D115" t="s">
        <v>62</v>
      </c>
      <c r="E115" t="s">
        <v>51</v>
      </c>
      <c r="F115" t="s">
        <v>23</v>
      </c>
      <c r="G115" t="s">
        <v>100</v>
      </c>
      <c r="H115" t="s">
        <v>105</v>
      </c>
      <c r="J115" t="s">
        <v>26</v>
      </c>
    </row>
    <row r="116" spans="1:10" x14ac:dyDescent="0.35">
      <c r="A116" t="s">
        <v>251</v>
      </c>
      <c r="B116" t="s">
        <v>113</v>
      </c>
      <c r="C116" t="s">
        <v>114</v>
      </c>
      <c r="D116" t="s">
        <v>36</v>
      </c>
      <c r="E116" t="s">
        <v>51</v>
      </c>
      <c r="F116" t="s">
        <v>63</v>
      </c>
      <c r="G116" t="s">
        <v>104</v>
      </c>
      <c r="H116" t="s">
        <v>100</v>
      </c>
      <c r="I116">
        <v>69</v>
      </c>
      <c r="J116" t="s">
        <v>26</v>
      </c>
    </row>
    <row r="117" spans="1:10" x14ac:dyDescent="0.35">
      <c r="A117" t="s">
        <v>252</v>
      </c>
      <c r="B117" t="s">
        <v>233</v>
      </c>
      <c r="C117" t="s">
        <v>125</v>
      </c>
      <c r="D117" t="s">
        <v>30</v>
      </c>
      <c r="E117" t="s">
        <v>51</v>
      </c>
      <c r="F117" t="s">
        <v>117</v>
      </c>
      <c r="G117" t="s">
        <v>142</v>
      </c>
      <c r="H117" t="s">
        <v>147</v>
      </c>
      <c r="I117">
        <v>69</v>
      </c>
      <c r="J117" t="s">
        <v>18</v>
      </c>
    </row>
    <row r="118" spans="1:10" x14ac:dyDescent="0.35">
      <c r="A118" t="s">
        <v>253</v>
      </c>
      <c r="B118" t="s">
        <v>110</v>
      </c>
      <c r="C118" t="s">
        <v>45</v>
      </c>
      <c r="D118" t="s">
        <v>68</v>
      </c>
      <c r="E118" t="s">
        <v>51</v>
      </c>
      <c r="F118" t="s">
        <v>23</v>
      </c>
      <c r="G118" t="s">
        <v>24</v>
      </c>
      <c r="H118" t="s">
        <v>169</v>
      </c>
      <c r="I118">
        <v>32</v>
      </c>
      <c r="J118" t="s">
        <v>18</v>
      </c>
    </row>
    <row r="119" spans="1:10" x14ac:dyDescent="0.35">
      <c r="A119" t="s">
        <v>254</v>
      </c>
      <c r="B119" t="s">
        <v>156</v>
      </c>
      <c r="C119" t="s">
        <v>50</v>
      </c>
      <c r="D119" t="s">
        <v>82</v>
      </c>
      <c r="E119" t="s">
        <v>51</v>
      </c>
      <c r="F119" t="s">
        <v>69</v>
      </c>
      <c r="G119" t="s">
        <v>57</v>
      </c>
      <c r="H119" t="s">
        <v>58</v>
      </c>
      <c r="I119">
        <v>27</v>
      </c>
      <c r="J119" t="s">
        <v>39</v>
      </c>
    </row>
    <row r="120" spans="1:10" x14ac:dyDescent="0.35">
      <c r="A120" t="s">
        <v>255</v>
      </c>
      <c r="B120" t="s">
        <v>220</v>
      </c>
      <c r="C120" t="s">
        <v>242</v>
      </c>
      <c r="D120" t="s">
        <v>30</v>
      </c>
      <c r="E120" t="s">
        <v>14</v>
      </c>
      <c r="F120" t="s">
        <v>117</v>
      </c>
      <c r="G120" t="s">
        <v>32</v>
      </c>
      <c r="H120" t="s">
        <v>118</v>
      </c>
      <c r="I120">
        <v>11</v>
      </c>
      <c r="J120" t="s">
        <v>18</v>
      </c>
    </row>
    <row r="121" spans="1:10" x14ac:dyDescent="0.35">
      <c r="A121" t="s">
        <v>256</v>
      </c>
      <c r="B121" t="s">
        <v>233</v>
      </c>
      <c r="C121" t="s">
        <v>190</v>
      </c>
      <c r="D121" t="s">
        <v>82</v>
      </c>
      <c r="E121" t="s">
        <v>51</v>
      </c>
      <c r="F121" t="s">
        <v>56</v>
      </c>
      <c r="G121" t="s">
        <v>37</v>
      </c>
      <c r="H121" t="s">
        <v>91</v>
      </c>
      <c r="I121">
        <v>23</v>
      </c>
      <c r="J121" t="s">
        <v>39</v>
      </c>
    </row>
    <row r="122" spans="1:10" x14ac:dyDescent="0.35">
      <c r="A122" t="s">
        <v>179</v>
      </c>
      <c r="B122" t="s">
        <v>158</v>
      </c>
      <c r="C122" t="s">
        <v>21</v>
      </c>
      <c r="D122" t="s">
        <v>62</v>
      </c>
      <c r="E122" t="s">
        <v>31</v>
      </c>
      <c r="F122" t="s">
        <v>23</v>
      </c>
      <c r="G122" t="s">
        <v>84</v>
      </c>
      <c r="H122" t="s">
        <v>177</v>
      </c>
      <c r="I122">
        <v>62</v>
      </c>
      <c r="J122" t="s">
        <v>18</v>
      </c>
    </row>
    <row r="123" spans="1:10" x14ac:dyDescent="0.35">
      <c r="A123" t="s">
        <v>167</v>
      </c>
      <c r="B123" t="s">
        <v>41</v>
      </c>
      <c r="C123" t="s">
        <v>21</v>
      </c>
      <c r="D123" t="s">
        <v>13</v>
      </c>
      <c r="E123" t="s">
        <v>31</v>
      </c>
      <c r="F123" t="s">
        <v>69</v>
      </c>
      <c r="G123" t="s">
        <v>142</v>
      </c>
      <c r="H123" t="s">
        <v>147</v>
      </c>
      <c r="I123">
        <v>6</v>
      </c>
      <c r="J123" t="s">
        <v>92</v>
      </c>
    </row>
    <row r="124" spans="1:10" x14ac:dyDescent="0.35">
      <c r="A124" t="s">
        <v>176</v>
      </c>
      <c r="B124" t="s">
        <v>173</v>
      </c>
      <c r="C124" t="s">
        <v>29</v>
      </c>
      <c r="D124" t="s">
        <v>13</v>
      </c>
      <c r="E124" t="s">
        <v>31</v>
      </c>
      <c r="F124" t="s">
        <v>117</v>
      </c>
      <c r="G124" t="s">
        <v>177</v>
      </c>
      <c r="H124" t="s">
        <v>178</v>
      </c>
      <c r="I124">
        <v>12</v>
      </c>
      <c r="J124" t="s">
        <v>39</v>
      </c>
    </row>
    <row r="125" spans="1:10" x14ac:dyDescent="0.35">
      <c r="A125" t="s">
        <v>181</v>
      </c>
      <c r="B125" t="s">
        <v>182</v>
      </c>
      <c r="C125" t="s">
        <v>123</v>
      </c>
      <c r="D125" t="s">
        <v>62</v>
      </c>
      <c r="E125" t="s">
        <v>31</v>
      </c>
      <c r="F125" t="s">
        <v>117</v>
      </c>
      <c r="G125" t="s">
        <v>142</v>
      </c>
      <c r="H125" t="s">
        <v>147</v>
      </c>
      <c r="I125">
        <v>15</v>
      </c>
      <c r="J125" t="s">
        <v>26</v>
      </c>
    </row>
    <row r="126" spans="1:10" x14ac:dyDescent="0.35">
      <c r="A126" t="s">
        <v>179</v>
      </c>
      <c r="B126" t="s">
        <v>158</v>
      </c>
      <c r="C126" t="s">
        <v>21</v>
      </c>
      <c r="D126" t="s">
        <v>62</v>
      </c>
      <c r="E126" t="s">
        <v>31</v>
      </c>
      <c r="F126" t="s">
        <v>23</v>
      </c>
      <c r="G126" t="s">
        <v>84</v>
      </c>
      <c r="H126" t="s">
        <v>177</v>
      </c>
      <c r="I126">
        <v>62</v>
      </c>
      <c r="J126" t="s">
        <v>18</v>
      </c>
    </row>
    <row r="127" spans="1:10" x14ac:dyDescent="0.35">
      <c r="A127" t="s">
        <v>257</v>
      </c>
      <c r="B127" t="s">
        <v>258</v>
      </c>
      <c r="D127" t="s">
        <v>30</v>
      </c>
      <c r="E127" t="s">
        <v>14</v>
      </c>
      <c r="F127" t="s">
        <v>117</v>
      </c>
      <c r="G127" t="s">
        <v>32</v>
      </c>
      <c r="H127" t="s">
        <v>111</v>
      </c>
      <c r="J127" t="s">
        <v>39</v>
      </c>
    </row>
    <row r="128" spans="1:10" x14ac:dyDescent="0.35">
      <c r="A128" t="s">
        <v>259</v>
      </c>
      <c r="B128" t="s">
        <v>260</v>
      </c>
      <c r="C128" t="s">
        <v>261</v>
      </c>
      <c r="E128" t="s">
        <v>31</v>
      </c>
      <c r="F128" t="s">
        <v>56</v>
      </c>
      <c r="G128" t="s">
        <v>96</v>
      </c>
      <c r="H128" t="s">
        <v>78</v>
      </c>
      <c r="I128">
        <v>12</v>
      </c>
      <c r="J128" t="s">
        <v>92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839FF-7E60-46A8-94E7-AC2888746B10}">
  <dimension ref="A1:L128"/>
  <sheetViews>
    <sheetView showGridLines="0" workbookViewId="0">
      <selection activeCell="A70" sqref="A70:I85"/>
    </sheetView>
  </sheetViews>
  <sheetFormatPr defaultRowHeight="14.5" x14ac:dyDescent="0.35"/>
  <cols>
    <col min="1" max="1" width="10.453125" customWidth="1"/>
    <col min="2" max="2" width="13.7265625" customWidth="1"/>
    <col min="3" max="3" width="14.08984375" bestFit="1" customWidth="1"/>
    <col min="4" max="4" width="11.54296875" customWidth="1"/>
    <col min="5" max="5" width="16.08984375" bestFit="1" customWidth="1"/>
    <col min="6" max="6" width="15.26953125" customWidth="1"/>
    <col min="7" max="7" width="12.26953125" customWidth="1"/>
    <col min="8" max="8" width="13.26953125" customWidth="1"/>
    <col min="9" max="9" width="22.7265625" customWidth="1"/>
    <col min="11" max="11" width="14.08984375" bestFit="1" customWidth="1"/>
    <col min="12" max="12" width="16.6328125" customWidth="1"/>
  </cols>
  <sheetData>
    <row r="1" spans="1:12" x14ac:dyDescent="0.35">
      <c r="A1" s="5" t="s">
        <v>0</v>
      </c>
      <c r="B1" s="6" t="s">
        <v>1</v>
      </c>
      <c r="C1" s="6" t="s">
        <v>2</v>
      </c>
      <c r="D1" s="6" t="s">
        <v>3</v>
      </c>
      <c r="E1" s="6" t="s">
        <v>4</v>
      </c>
      <c r="F1" s="6" t="s">
        <v>5</v>
      </c>
      <c r="G1" s="6" t="s">
        <v>6</v>
      </c>
      <c r="H1" s="6" t="s">
        <v>7</v>
      </c>
      <c r="I1" s="6" t="s">
        <v>8</v>
      </c>
      <c r="J1" s="7" t="s">
        <v>9</v>
      </c>
    </row>
    <row r="2" spans="1:12" x14ac:dyDescent="0.35">
      <c r="A2" s="3" t="s">
        <v>10</v>
      </c>
      <c r="B2" s="1" t="s">
        <v>11</v>
      </c>
      <c r="C2" s="1" t="s">
        <v>12</v>
      </c>
      <c r="D2" s="1" t="s">
        <v>22</v>
      </c>
      <c r="E2" s="1" t="s">
        <v>14</v>
      </c>
      <c r="F2" s="1" t="s">
        <v>15</v>
      </c>
      <c r="G2" s="2">
        <v>46090</v>
      </c>
      <c r="H2" s="2">
        <v>46092</v>
      </c>
      <c r="I2" s="1">
        <v>30</v>
      </c>
      <c r="J2" s="4" t="s">
        <v>26</v>
      </c>
      <c r="L2" t="str">
        <f>PROPER(K2)</f>
        <v/>
      </c>
    </row>
    <row r="3" spans="1:12" x14ac:dyDescent="0.35">
      <c r="A3" s="3" t="s">
        <v>19</v>
      </c>
      <c r="B3" s="1" t="s">
        <v>20</v>
      </c>
      <c r="C3" s="1" t="s">
        <v>190</v>
      </c>
      <c r="D3" s="1" t="s">
        <v>22</v>
      </c>
      <c r="E3" s="1" t="s">
        <v>14</v>
      </c>
      <c r="F3" s="1" t="s">
        <v>23</v>
      </c>
      <c r="G3" s="2">
        <v>46095</v>
      </c>
      <c r="H3" s="2">
        <v>46097</v>
      </c>
      <c r="I3" s="1">
        <v>56</v>
      </c>
      <c r="J3" s="4" t="s">
        <v>26</v>
      </c>
      <c r="L3" t="str">
        <f t="shared" ref="L3:L66" si="0">PROPER(K3)</f>
        <v/>
      </c>
    </row>
    <row r="4" spans="1:12" x14ac:dyDescent="0.35">
      <c r="A4" s="3" t="s">
        <v>27</v>
      </c>
      <c r="B4" s="1" t="s">
        <v>28</v>
      </c>
      <c r="C4" s="1" t="s">
        <v>125</v>
      </c>
      <c r="D4" s="1" t="s">
        <v>30</v>
      </c>
      <c r="E4" s="1" t="s">
        <v>31</v>
      </c>
      <c r="F4" s="1" t="s">
        <v>23</v>
      </c>
      <c r="G4" s="2">
        <v>46086</v>
      </c>
      <c r="H4" s="2">
        <v>46087</v>
      </c>
      <c r="I4" s="1">
        <v>54</v>
      </c>
      <c r="J4" s="4" t="s">
        <v>26</v>
      </c>
      <c r="L4" t="str">
        <f t="shared" si="0"/>
        <v/>
      </c>
    </row>
    <row r="5" spans="1:12" x14ac:dyDescent="0.35">
      <c r="A5" s="3" t="s">
        <v>34</v>
      </c>
      <c r="B5" s="1" t="s">
        <v>35</v>
      </c>
      <c r="C5" s="1" t="s">
        <v>12</v>
      </c>
      <c r="D5" s="1" t="s">
        <v>68</v>
      </c>
      <c r="E5" s="1" t="s">
        <v>31</v>
      </c>
      <c r="F5" s="1" t="s">
        <v>15</v>
      </c>
      <c r="G5" s="2">
        <v>46092</v>
      </c>
      <c r="H5" s="2">
        <v>46092</v>
      </c>
      <c r="I5" s="1">
        <v>65</v>
      </c>
      <c r="J5" s="4" t="s">
        <v>39</v>
      </c>
      <c r="L5" t="str">
        <f t="shared" si="0"/>
        <v/>
      </c>
    </row>
    <row r="6" spans="1:12" x14ac:dyDescent="0.35">
      <c r="A6" s="3" t="s">
        <v>40</v>
      </c>
      <c r="B6" s="1" t="s">
        <v>41</v>
      </c>
      <c r="C6" s="1" t="s">
        <v>190</v>
      </c>
      <c r="D6" s="1" t="s">
        <v>30</v>
      </c>
      <c r="E6" s="1" t="s">
        <v>14</v>
      </c>
      <c r="F6" s="1" t="s">
        <v>15</v>
      </c>
      <c r="G6" s="2">
        <v>46092</v>
      </c>
      <c r="H6" s="2">
        <v>46092</v>
      </c>
      <c r="I6" s="1">
        <v>45</v>
      </c>
      <c r="J6" s="4" t="s">
        <v>26</v>
      </c>
      <c r="L6" t="str">
        <f t="shared" si="0"/>
        <v/>
      </c>
    </row>
    <row r="7" spans="1:12" x14ac:dyDescent="0.35">
      <c r="A7" s="3" t="s">
        <v>43</v>
      </c>
      <c r="B7" s="1" t="s">
        <v>44</v>
      </c>
      <c r="C7" s="1" t="s">
        <v>45</v>
      </c>
      <c r="D7" s="1" t="s">
        <v>62</v>
      </c>
      <c r="E7" s="1" t="s">
        <v>31</v>
      </c>
      <c r="F7" s="1" t="s">
        <v>23</v>
      </c>
      <c r="G7" s="2">
        <v>46085</v>
      </c>
      <c r="H7" s="2">
        <v>46085</v>
      </c>
      <c r="I7" s="1">
        <v>30</v>
      </c>
      <c r="J7" s="4" t="s">
        <v>26</v>
      </c>
      <c r="L7" t="str">
        <f t="shared" si="0"/>
        <v/>
      </c>
    </row>
    <row r="8" spans="1:12" x14ac:dyDescent="0.35">
      <c r="A8" s="3" t="s">
        <v>49</v>
      </c>
      <c r="B8" s="1" t="s">
        <v>20</v>
      </c>
      <c r="C8" s="1" t="s">
        <v>50</v>
      </c>
      <c r="D8" s="1" t="s">
        <v>22</v>
      </c>
      <c r="E8" s="1" t="s">
        <v>51</v>
      </c>
      <c r="F8" s="1" t="s">
        <v>23</v>
      </c>
      <c r="G8" s="2">
        <v>46083</v>
      </c>
      <c r="H8" s="2">
        <v>46084</v>
      </c>
      <c r="I8" s="1">
        <v>31</v>
      </c>
      <c r="J8" s="4" t="s">
        <v>26</v>
      </c>
      <c r="L8" t="str">
        <f t="shared" si="0"/>
        <v/>
      </c>
    </row>
    <row r="9" spans="1:12" x14ac:dyDescent="0.35">
      <c r="A9" s="3" t="s">
        <v>54</v>
      </c>
      <c r="B9" s="1" t="s">
        <v>55</v>
      </c>
      <c r="C9" s="1" t="s">
        <v>190</v>
      </c>
      <c r="D9" s="1" t="s">
        <v>22</v>
      </c>
      <c r="E9" s="1" t="s">
        <v>31</v>
      </c>
      <c r="F9" s="1" t="s">
        <v>56</v>
      </c>
      <c r="G9" s="2">
        <v>46093</v>
      </c>
      <c r="H9" s="2">
        <v>46095</v>
      </c>
      <c r="I9" s="1">
        <v>24</v>
      </c>
      <c r="J9" s="4" t="s">
        <v>26</v>
      </c>
      <c r="L9" t="str">
        <f t="shared" si="0"/>
        <v/>
      </c>
    </row>
    <row r="10" spans="1:12" x14ac:dyDescent="0.35">
      <c r="A10" s="3" t="s">
        <v>59</v>
      </c>
      <c r="B10" s="1" t="s">
        <v>60</v>
      </c>
      <c r="C10" s="1" t="s">
        <v>125</v>
      </c>
      <c r="D10" s="1" t="s">
        <v>62</v>
      </c>
      <c r="E10" s="1" t="s">
        <v>14</v>
      </c>
      <c r="F10" s="1" t="s">
        <v>63</v>
      </c>
      <c r="G10" s="2">
        <v>46086</v>
      </c>
      <c r="H10" s="2">
        <v>46088</v>
      </c>
      <c r="I10" s="1">
        <v>14</v>
      </c>
      <c r="J10" s="4" t="s">
        <v>39</v>
      </c>
      <c r="L10" t="str">
        <f t="shared" si="0"/>
        <v/>
      </c>
    </row>
    <row r="11" spans="1:12" x14ac:dyDescent="0.35">
      <c r="A11" s="3" t="s">
        <v>65</v>
      </c>
      <c r="B11" s="1" t="s">
        <v>66</v>
      </c>
      <c r="C11" s="1" t="s">
        <v>103</v>
      </c>
      <c r="D11" s="1" t="s">
        <v>68</v>
      </c>
      <c r="E11" s="1" t="s">
        <v>14</v>
      </c>
      <c r="F11" s="1" t="s">
        <v>69</v>
      </c>
      <c r="G11" s="2">
        <v>46085</v>
      </c>
      <c r="H11" s="2">
        <v>46086</v>
      </c>
      <c r="I11" s="1">
        <v>36</v>
      </c>
      <c r="J11" s="4" t="s">
        <v>26</v>
      </c>
      <c r="L11" t="str">
        <f t="shared" si="0"/>
        <v/>
      </c>
    </row>
    <row r="12" spans="1:12" x14ac:dyDescent="0.35">
      <c r="A12" s="3" t="s">
        <v>71</v>
      </c>
      <c r="B12" s="1" t="s">
        <v>72</v>
      </c>
      <c r="C12" s="1" t="s">
        <v>12</v>
      </c>
      <c r="D12" s="1" t="s">
        <v>68</v>
      </c>
      <c r="E12" s="1" t="s">
        <v>31</v>
      </c>
      <c r="F12" s="1" t="s">
        <v>15</v>
      </c>
      <c r="G12" s="2">
        <v>46095</v>
      </c>
      <c r="H12" s="2">
        <v>46097</v>
      </c>
      <c r="I12" s="1">
        <v>39</v>
      </c>
      <c r="J12" s="4" t="s">
        <v>26</v>
      </c>
      <c r="L12" t="str">
        <f t="shared" si="0"/>
        <v/>
      </c>
    </row>
    <row r="13" spans="1:12" x14ac:dyDescent="0.35">
      <c r="A13" s="3" t="s">
        <v>74</v>
      </c>
      <c r="B13" s="1" t="s">
        <v>75</v>
      </c>
      <c r="C13" s="1" t="s">
        <v>50</v>
      </c>
      <c r="D13" s="1" t="s">
        <v>62</v>
      </c>
      <c r="E13" s="1" t="s">
        <v>31</v>
      </c>
      <c r="F13" s="1" t="s">
        <v>56</v>
      </c>
      <c r="G13" s="2">
        <v>46084</v>
      </c>
      <c r="H13" s="2">
        <v>46086</v>
      </c>
      <c r="I13" s="1"/>
      <c r="J13" s="4" t="s">
        <v>26</v>
      </c>
      <c r="L13" t="str">
        <f t="shared" si="0"/>
        <v/>
      </c>
    </row>
    <row r="14" spans="1:12" x14ac:dyDescent="0.35">
      <c r="A14" s="3" t="s">
        <v>79</v>
      </c>
      <c r="B14" s="1" t="s">
        <v>80</v>
      </c>
      <c r="C14" s="1" t="s">
        <v>45</v>
      </c>
      <c r="D14" s="1" t="s">
        <v>30</v>
      </c>
      <c r="E14" s="1" t="s">
        <v>51</v>
      </c>
      <c r="F14" s="1" t="s">
        <v>23</v>
      </c>
      <c r="G14" s="2">
        <v>46088</v>
      </c>
      <c r="H14" s="2">
        <v>46089</v>
      </c>
      <c r="I14" s="1">
        <v>44</v>
      </c>
      <c r="J14" s="4" t="s">
        <v>26</v>
      </c>
      <c r="L14" t="str">
        <f t="shared" si="0"/>
        <v/>
      </c>
    </row>
    <row r="15" spans="1:12" x14ac:dyDescent="0.35">
      <c r="A15" s="3" t="s">
        <v>85</v>
      </c>
      <c r="B15" s="1" t="s">
        <v>86</v>
      </c>
      <c r="C15" s="1" t="s">
        <v>190</v>
      </c>
      <c r="D15" s="1" t="s">
        <v>68</v>
      </c>
      <c r="E15" s="1" t="s">
        <v>31</v>
      </c>
      <c r="F15" s="1" t="s">
        <v>63</v>
      </c>
      <c r="G15" s="2">
        <v>46087</v>
      </c>
      <c r="H15" s="2">
        <v>46087</v>
      </c>
      <c r="I15" s="1">
        <v>56</v>
      </c>
      <c r="J15" s="4" t="s">
        <v>26</v>
      </c>
      <c r="L15" t="str">
        <f t="shared" si="0"/>
        <v/>
      </c>
    </row>
    <row r="16" spans="1:12" x14ac:dyDescent="0.35">
      <c r="A16" s="3" t="s">
        <v>88</v>
      </c>
      <c r="B16" s="1" t="s">
        <v>89</v>
      </c>
      <c r="C16" s="1" t="s">
        <v>125</v>
      </c>
      <c r="D16" s="1" t="s">
        <v>30</v>
      </c>
      <c r="E16" s="1" t="s">
        <v>14</v>
      </c>
      <c r="F16" s="1" t="s">
        <v>23</v>
      </c>
      <c r="G16" s="2">
        <v>46094</v>
      </c>
      <c r="H16" s="2">
        <v>46094</v>
      </c>
      <c r="I16" s="1"/>
      <c r="J16" s="4" t="s">
        <v>92</v>
      </c>
      <c r="L16" t="str">
        <f t="shared" si="0"/>
        <v/>
      </c>
    </row>
    <row r="17" spans="1:12" x14ac:dyDescent="0.35">
      <c r="A17" s="3" t="s">
        <v>93</v>
      </c>
      <c r="B17" s="1" t="s">
        <v>55</v>
      </c>
      <c r="C17" s="1" t="s">
        <v>12</v>
      </c>
      <c r="D17" s="1" t="s">
        <v>22</v>
      </c>
      <c r="E17" s="1" t="s">
        <v>14</v>
      </c>
      <c r="F17" s="1" t="s">
        <v>69</v>
      </c>
      <c r="G17" s="2">
        <v>46087</v>
      </c>
      <c r="H17" s="2">
        <v>46087</v>
      </c>
      <c r="I17" s="1">
        <v>27</v>
      </c>
      <c r="J17" s="4" t="s">
        <v>26</v>
      </c>
      <c r="L17" t="str">
        <f t="shared" si="0"/>
        <v/>
      </c>
    </row>
    <row r="18" spans="1:12" x14ac:dyDescent="0.35">
      <c r="A18" s="3" t="s">
        <v>94</v>
      </c>
      <c r="B18" s="1" t="s">
        <v>55</v>
      </c>
      <c r="C18" s="1" t="s">
        <v>190</v>
      </c>
      <c r="D18" s="1" t="s">
        <v>22</v>
      </c>
      <c r="E18" s="1" t="s">
        <v>51</v>
      </c>
      <c r="F18" s="1" t="s">
        <v>15</v>
      </c>
      <c r="G18" s="2">
        <v>46083</v>
      </c>
      <c r="H18" s="2">
        <v>46085</v>
      </c>
      <c r="I18" s="1">
        <v>30</v>
      </c>
      <c r="J18" s="4" t="s">
        <v>26</v>
      </c>
      <c r="L18" t="str">
        <f t="shared" si="0"/>
        <v/>
      </c>
    </row>
    <row r="19" spans="1:12" x14ac:dyDescent="0.35">
      <c r="A19" s="3" t="s">
        <v>97</v>
      </c>
      <c r="B19" s="1" t="s">
        <v>98</v>
      </c>
      <c r="C19" s="1" t="s">
        <v>99</v>
      </c>
      <c r="D19" s="1" t="s">
        <v>68</v>
      </c>
      <c r="E19" s="1" t="s">
        <v>14</v>
      </c>
      <c r="F19" s="1" t="s">
        <v>15</v>
      </c>
      <c r="G19" s="2">
        <v>46091</v>
      </c>
      <c r="H19" s="2">
        <v>46092</v>
      </c>
      <c r="I19" s="1">
        <v>71</v>
      </c>
      <c r="J19" s="4" t="s">
        <v>39</v>
      </c>
      <c r="L19" t="str">
        <f t="shared" si="0"/>
        <v/>
      </c>
    </row>
    <row r="20" spans="1:12" x14ac:dyDescent="0.35">
      <c r="A20" s="3" t="s">
        <v>101</v>
      </c>
      <c r="B20" s="1" t="s">
        <v>102</v>
      </c>
      <c r="C20" s="1" t="s">
        <v>103</v>
      </c>
      <c r="D20" s="1" t="s">
        <v>62</v>
      </c>
      <c r="E20" s="1" t="s">
        <v>51</v>
      </c>
      <c r="F20" s="1" t="s">
        <v>63</v>
      </c>
      <c r="G20" s="2">
        <v>46091</v>
      </c>
      <c r="H20" s="2">
        <v>46093</v>
      </c>
      <c r="I20" s="1">
        <v>63</v>
      </c>
      <c r="J20" s="4" t="s">
        <v>26</v>
      </c>
      <c r="L20" t="str">
        <f t="shared" si="0"/>
        <v/>
      </c>
    </row>
    <row r="21" spans="1:12" x14ac:dyDescent="0.35">
      <c r="A21" s="3" t="s">
        <v>106</v>
      </c>
      <c r="B21" s="1" t="s">
        <v>107</v>
      </c>
      <c r="C21" s="1" t="s">
        <v>50</v>
      </c>
      <c r="D21" s="1" t="s">
        <v>62</v>
      </c>
      <c r="E21" s="1" t="s">
        <v>51</v>
      </c>
      <c r="F21" s="1" t="s">
        <v>63</v>
      </c>
      <c r="G21" s="2">
        <v>46085</v>
      </c>
      <c r="H21" s="2">
        <v>46087</v>
      </c>
      <c r="I21" s="1">
        <v>55</v>
      </c>
      <c r="J21" s="4" t="s">
        <v>26</v>
      </c>
      <c r="L21" t="str">
        <f t="shared" si="0"/>
        <v/>
      </c>
    </row>
    <row r="22" spans="1:12" x14ac:dyDescent="0.35">
      <c r="A22" s="3" t="s">
        <v>109</v>
      </c>
      <c r="B22" s="1" t="s">
        <v>110</v>
      </c>
      <c r="C22" s="1" t="s">
        <v>50</v>
      </c>
      <c r="D22" s="1" t="s">
        <v>22</v>
      </c>
      <c r="E22" s="1" t="s">
        <v>51</v>
      </c>
      <c r="F22" s="1" t="s">
        <v>63</v>
      </c>
      <c r="G22" s="2">
        <v>46087</v>
      </c>
      <c r="H22" s="2">
        <v>46088</v>
      </c>
      <c r="I22" s="1">
        <v>3</v>
      </c>
      <c r="J22" s="4" t="s">
        <v>92</v>
      </c>
      <c r="L22" t="str">
        <f t="shared" si="0"/>
        <v/>
      </c>
    </row>
    <row r="23" spans="1:12" x14ac:dyDescent="0.35">
      <c r="A23" s="3" t="s">
        <v>112</v>
      </c>
      <c r="B23" s="1" t="s">
        <v>113</v>
      </c>
      <c r="C23" s="1" t="s">
        <v>12</v>
      </c>
      <c r="D23" s="1" t="s">
        <v>22</v>
      </c>
      <c r="E23" s="1" t="s">
        <v>31</v>
      </c>
      <c r="F23" s="1" t="s">
        <v>56</v>
      </c>
      <c r="G23" s="2">
        <v>46086</v>
      </c>
      <c r="H23" s="2">
        <v>46087</v>
      </c>
      <c r="I23" s="1">
        <v>42</v>
      </c>
      <c r="J23" s="4" t="s">
        <v>26</v>
      </c>
      <c r="L23" t="str">
        <f t="shared" si="0"/>
        <v/>
      </c>
    </row>
    <row r="24" spans="1:12" x14ac:dyDescent="0.35">
      <c r="A24" s="3" t="s">
        <v>115</v>
      </c>
      <c r="B24" s="1" t="s">
        <v>116</v>
      </c>
      <c r="C24" s="1" t="s">
        <v>50</v>
      </c>
      <c r="D24" s="1" t="s">
        <v>22</v>
      </c>
      <c r="E24" s="1" t="s">
        <v>51</v>
      </c>
      <c r="F24" s="1" t="s">
        <v>117</v>
      </c>
      <c r="G24" s="2">
        <v>46087</v>
      </c>
      <c r="H24" s="2">
        <v>46088</v>
      </c>
      <c r="I24" s="1">
        <v>35</v>
      </c>
      <c r="J24" s="4" t="s">
        <v>39</v>
      </c>
      <c r="L24" t="str">
        <f t="shared" si="0"/>
        <v/>
      </c>
    </row>
    <row r="25" spans="1:12" x14ac:dyDescent="0.35">
      <c r="A25" s="3" t="s">
        <v>119</v>
      </c>
      <c r="B25" s="1" t="s">
        <v>120</v>
      </c>
      <c r="C25" s="1" t="s">
        <v>50</v>
      </c>
      <c r="D25" s="1" t="s">
        <v>62</v>
      </c>
      <c r="E25" s="1" t="s">
        <v>51</v>
      </c>
      <c r="F25" s="1" t="s">
        <v>56</v>
      </c>
      <c r="G25" s="2">
        <v>46094</v>
      </c>
      <c r="H25" s="2">
        <v>46095</v>
      </c>
      <c r="I25" s="1">
        <v>47</v>
      </c>
      <c r="J25" s="4" t="s">
        <v>26</v>
      </c>
      <c r="L25" t="str">
        <f t="shared" si="0"/>
        <v/>
      </c>
    </row>
    <row r="26" spans="1:12" x14ac:dyDescent="0.35">
      <c r="A26" s="3" t="s">
        <v>122</v>
      </c>
      <c r="B26" s="1" t="s">
        <v>41</v>
      </c>
      <c r="C26" s="1" t="s">
        <v>45</v>
      </c>
      <c r="D26" s="1" t="s">
        <v>62</v>
      </c>
      <c r="E26" s="1" t="s">
        <v>31</v>
      </c>
      <c r="F26" s="1" t="s">
        <v>69</v>
      </c>
      <c r="G26" s="2">
        <v>46091</v>
      </c>
      <c r="H26" s="2">
        <v>46092</v>
      </c>
      <c r="I26" s="1">
        <v>17</v>
      </c>
      <c r="J26" s="4" t="s">
        <v>92</v>
      </c>
      <c r="L26" t="str">
        <f t="shared" si="0"/>
        <v/>
      </c>
    </row>
    <row r="27" spans="1:12" x14ac:dyDescent="0.35">
      <c r="A27" s="3" t="s">
        <v>124</v>
      </c>
      <c r="B27" s="1" t="s">
        <v>89</v>
      </c>
      <c r="C27" s="1" t="s">
        <v>125</v>
      </c>
      <c r="D27" s="1" t="s">
        <v>68</v>
      </c>
      <c r="E27" s="1" t="s">
        <v>51</v>
      </c>
      <c r="F27" s="1" t="s">
        <v>69</v>
      </c>
      <c r="G27" s="2">
        <v>46084</v>
      </c>
      <c r="H27" s="2">
        <v>46085</v>
      </c>
      <c r="I27" s="1"/>
      <c r="J27" s="4" t="s">
        <v>39</v>
      </c>
      <c r="L27" t="str">
        <f t="shared" si="0"/>
        <v/>
      </c>
    </row>
    <row r="28" spans="1:12" x14ac:dyDescent="0.35">
      <c r="A28" s="3" t="s">
        <v>126</v>
      </c>
      <c r="B28" s="1" t="s">
        <v>89</v>
      </c>
      <c r="C28" s="1" t="s">
        <v>50</v>
      </c>
      <c r="D28" s="1" t="s">
        <v>22</v>
      </c>
      <c r="E28" s="1" t="s">
        <v>14</v>
      </c>
      <c r="F28" s="1" t="s">
        <v>56</v>
      </c>
      <c r="G28" s="2">
        <v>46094</v>
      </c>
      <c r="H28" s="2">
        <v>46096</v>
      </c>
      <c r="I28" s="1">
        <v>18</v>
      </c>
      <c r="J28" s="4" t="s">
        <v>92</v>
      </c>
      <c r="L28" t="str">
        <f t="shared" si="0"/>
        <v/>
      </c>
    </row>
    <row r="29" spans="1:12" x14ac:dyDescent="0.35">
      <c r="A29" s="3" t="s">
        <v>128</v>
      </c>
      <c r="B29" s="1" t="s">
        <v>120</v>
      </c>
      <c r="C29" s="1" t="s">
        <v>103</v>
      </c>
      <c r="D29" s="1" t="s">
        <v>68</v>
      </c>
      <c r="E29" s="1" t="s">
        <v>14</v>
      </c>
      <c r="F29" s="1" t="s">
        <v>23</v>
      </c>
      <c r="G29" s="2">
        <v>46082</v>
      </c>
      <c r="H29" s="2">
        <v>46082</v>
      </c>
      <c r="I29" s="1">
        <v>50</v>
      </c>
      <c r="J29" s="4" t="s">
        <v>39</v>
      </c>
      <c r="L29" t="str">
        <f t="shared" si="0"/>
        <v/>
      </c>
    </row>
    <row r="30" spans="1:12" x14ac:dyDescent="0.35">
      <c r="A30" s="3" t="s">
        <v>131</v>
      </c>
      <c r="B30" s="1" t="s">
        <v>107</v>
      </c>
      <c r="C30" s="1" t="s">
        <v>103</v>
      </c>
      <c r="D30" s="1" t="s">
        <v>30</v>
      </c>
      <c r="E30" s="1" t="s">
        <v>51</v>
      </c>
      <c r="F30" s="1" t="s">
        <v>23</v>
      </c>
      <c r="G30" s="2">
        <v>46092</v>
      </c>
      <c r="H30" s="2">
        <v>46092</v>
      </c>
      <c r="I30" s="1"/>
      <c r="J30" s="4" t="s">
        <v>92</v>
      </c>
      <c r="L30" t="str">
        <f t="shared" si="0"/>
        <v/>
      </c>
    </row>
    <row r="31" spans="1:12" x14ac:dyDescent="0.35">
      <c r="A31" s="3" t="s">
        <v>132</v>
      </c>
      <c r="B31" s="1" t="s">
        <v>28</v>
      </c>
      <c r="C31" s="1" t="s">
        <v>190</v>
      </c>
      <c r="D31" s="1" t="s">
        <v>62</v>
      </c>
      <c r="E31" s="1" t="s">
        <v>14</v>
      </c>
      <c r="F31" s="1" t="s">
        <v>117</v>
      </c>
      <c r="G31" s="2">
        <v>46096</v>
      </c>
      <c r="H31" s="2">
        <v>46097</v>
      </c>
      <c r="I31" s="1">
        <v>15</v>
      </c>
      <c r="J31" s="4" t="s">
        <v>26</v>
      </c>
      <c r="L31" t="str">
        <f t="shared" si="0"/>
        <v/>
      </c>
    </row>
    <row r="32" spans="1:12" x14ac:dyDescent="0.35">
      <c r="A32" s="3" t="s">
        <v>134</v>
      </c>
      <c r="B32" s="1" t="s">
        <v>120</v>
      </c>
      <c r="C32" s="1" t="s">
        <v>125</v>
      </c>
      <c r="D32" s="1" t="s">
        <v>68</v>
      </c>
      <c r="E32" s="1" t="s">
        <v>31</v>
      </c>
      <c r="F32" s="1" t="s">
        <v>56</v>
      </c>
      <c r="G32" s="2">
        <v>46092</v>
      </c>
      <c r="H32" s="2">
        <v>46092</v>
      </c>
      <c r="I32" s="1">
        <v>61</v>
      </c>
      <c r="J32" s="4" t="s">
        <v>39</v>
      </c>
      <c r="L32" t="str">
        <f t="shared" si="0"/>
        <v/>
      </c>
    </row>
    <row r="33" spans="1:12" x14ac:dyDescent="0.35">
      <c r="A33" s="3" t="s">
        <v>135</v>
      </c>
      <c r="B33" s="1" t="s">
        <v>72</v>
      </c>
      <c r="C33" s="1" t="s">
        <v>125</v>
      </c>
      <c r="D33" s="1" t="s">
        <v>68</v>
      </c>
      <c r="E33" s="1" t="s">
        <v>14</v>
      </c>
      <c r="F33" s="1" t="s">
        <v>56</v>
      </c>
      <c r="G33" s="2">
        <v>46085</v>
      </c>
      <c r="H33" s="2">
        <v>46086</v>
      </c>
      <c r="I33" s="1">
        <v>21</v>
      </c>
      <c r="J33" s="4" t="s">
        <v>26</v>
      </c>
      <c r="L33" t="str">
        <f t="shared" si="0"/>
        <v/>
      </c>
    </row>
    <row r="34" spans="1:12" x14ac:dyDescent="0.35">
      <c r="A34" s="3" t="s">
        <v>136</v>
      </c>
      <c r="B34" s="1" t="s">
        <v>66</v>
      </c>
      <c r="C34" s="1" t="s">
        <v>190</v>
      </c>
      <c r="D34" s="1" t="s">
        <v>30</v>
      </c>
      <c r="E34" s="1" t="s">
        <v>31</v>
      </c>
      <c r="F34" s="1" t="s">
        <v>69</v>
      </c>
      <c r="G34" s="2">
        <v>46082</v>
      </c>
      <c r="H34" s="2">
        <v>46084</v>
      </c>
      <c r="I34" s="1">
        <v>55</v>
      </c>
      <c r="J34" s="4" t="s">
        <v>39</v>
      </c>
      <c r="L34" t="str">
        <f t="shared" si="0"/>
        <v/>
      </c>
    </row>
    <row r="35" spans="1:12" x14ac:dyDescent="0.35">
      <c r="A35" s="3" t="s">
        <v>138</v>
      </c>
      <c r="B35" s="1" t="s">
        <v>60</v>
      </c>
      <c r="C35" s="1" t="s">
        <v>125</v>
      </c>
      <c r="D35" s="1" t="s">
        <v>22</v>
      </c>
      <c r="E35" s="1" t="s">
        <v>14</v>
      </c>
      <c r="F35" s="1" t="s">
        <v>23</v>
      </c>
      <c r="G35" s="2">
        <v>46090</v>
      </c>
      <c r="H35" s="2">
        <v>46090</v>
      </c>
      <c r="I35" s="1">
        <v>10</v>
      </c>
      <c r="J35" s="4" t="s">
        <v>39</v>
      </c>
      <c r="L35" t="str">
        <f t="shared" si="0"/>
        <v/>
      </c>
    </row>
    <row r="36" spans="1:12" x14ac:dyDescent="0.35">
      <c r="A36" s="3" t="s">
        <v>140</v>
      </c>
      <c r="B36" s="1" t="s">
        <v>110</v>
      </c>
      <c r="C36" s="1" t="s">
        <v>50</v>
      </c>
      <c r="D36" s="1" t="s">
        <v>68</v>
      </c>
      <c r="E36" s="1" t="s">
        <v>31</v>
      </c>
      <c r="F36" s="1" t="s">
        <v>117</v>
      </c>
      <c r="G36" s="2">
        <v>46088</v>
      </c>
      <c r="H36" s="2">
        <v>46088</v>
      </c>
      <c r="I36" s="1">
        <v>60</v>
      </c>
      <c r="J36" s="4" t="s">
        <v>26</v>
      </c>
      <c r="L36" t="str">
        <f t="shared" si="0"/>
        <v/>
      </c>
    </row>
    <row r="37" spans="1:12" x14ac:dyDescent="0.35">
      <c r="A37" s="3" t="s">
        <v>141</v>
      </c>
      <c r="B37" s="1" t="s">
        <v>35</v>
      </c>
      <c r="C37" s="1" t="s">
        <v>50</v>
      </c>
      <c r="D37" s="1" t="s">
        <v>62</v>
      </c>
      <c r="E37" s="1" t="s">
        <v>31</v>
      </c>
      <c r="F37" s="1" t="s">
        <v>15</v>
      </c>
      <c r="G37" s="2">
        <v>46089</v>
      </c>
      <c r="H37" s="2">
        <v>46091</v>
      </c>
      <c r="I37" s="1">
        <v>13</v>
      </c>
      <c r="J37" s="4" t="s">
        <v>92</v>
      </c>
      <c r="L37" t="str">
        <f t="shared" si="0"/>
        <v/>
      </c>
    </row>
    <row r="38" spans="1:12" x14ac:dyDescent="0.35">
      <c r="A38" s="3" t="s">
        <v>143</v>
      </c>
      <c r="B38" s="1" t="s">
        <v>120</v>
      </c>
      <c r="C38" s="1" t="s">
        <v>45</v>
      </c>
      <c r="D38" s="1" t="s">
        <v>22</v>
      </c>
      <c r="E38" s="1" t="s">
        <v>31</v>
      </c>
      <c r="F38" s="1" t="s">
        <v>23</v>
      </c>
      <c r="G38" s="2">
        <v>46086</v>
      </c>
      <c r="H38" s="2">
        <v>46086</v>
      </c>
      <c r="I38" s="1"/>
      <c r="J38" s="4" t="s">
        <v>39</v>
      </c>
      <c r="L38" t="str">
        <f t="shared" si="0"/>
        <v/>
      </c>
    </row>
    <row r="39" spans="1:12" x14ac:dyDescent="0.35">
      <c r="A39" s="3" t="s">
        <v>144</v>
      </c>
      <c r="B39" s="1" t="s">
        <v>145</v>
      </c>
      <c r="C39" s="1" t="s">
        <v>12</v>
      </c>
      <c r="D39" s="1" t="s">
        <v>30</v>
      </c>
      <c r="E39" s="1" t="s">
        <v>31</v>
      </c>
      <c r="F39" s="1" t="s">
        <v>56</v>
      </c>
      <c r="G39" s="2">
        <v>46096</v>
      </c>
      <c r="H39" s="2">
        <v>46096</v>
      </c>
      <c r="I39" s="1">
        <v>11</v>
      </c>
      <c r="J39" s="4" t="s">
        <v>39</v>
      </c>
      <c r="L39" t="str">
        <f t="shared" si="0"/>
        <v/>
      </c>
    </row>
    <row r="40" spans="1:12" x14ac:dyDescent="0.35">
      <c r="A40" s="3" t="s">
        <v>146</v>
      </c>
      <c r="B40" s="1" t="s">
        <v>113</v>
      </c>
      <c r="C40" s="1" t="s">
        <v>125</v>
      </c>
      <c r="D40" s="1" t="s">
        <v>30</v>
      </c>
      <c r="E40" s="1" t="s">
        <v>14</v>
      </c>
      <c r="F40" s="1" t="s">
        <v>23</v>
      </c>
      <c r="G40" s="2">
        <v>46087</v>
      </c>
      <c r="H40" s="2">
        <v>46089</v>
      </c>
      <c r="I40" s="1">
        <v>52</v>
      </c>
      <c r="J40" s="4" t="s">
        <v>39</v>
      </c>
      <c r="L40" t="str">
        <f t="shared" si="0"/>
        <v/>
      </c>
    </row>
    <row r="41" spans="1:12" x14ac:dyDescent="0.35">
      <c r="A41" s="3" t="s">
        <v>148</v>
      </c>
      <c r="B41" s="1" t="s">
        <v>149</v>
      </c>
      <c r="C41" s="1" t="s">
        <v>45</v>
      </c>
      <c r="D41" s="1" t="s">
        <v>22</v>
      </c>
      <c r="E41" s="1" t="s">
        <v>51</v>
      </c>
      <c r="F41" s="1" t="s">
        <v>69</v>
      </c>
      <c r="G41" s="2">
        <v>46089</v>
      </c>
      <c r="H41" s="2">
        <v>46090</v>
      </c>
      <c r="I41" s="1">
        <v>63</v>
      </c>
      <c r="J41" s="4" t="s">
        <v>26</v>
      </c>
      <c r="L41" t="str">
        <f t="shared" si="0"/>
        <v/>
      </c>
    </row>
    <row r="42" spans="1:12" x14ac:dyDescent="0.35">
      <c r="A42" s="3" t="s">
        <v>150</v>
      </c>
      <c r="B42" s="1" t="s">
        <v>151</v>
      </c>
      <c r="C42" s="1" t="s">
        <v>190</v>
      </c>
      <c r="D42" s="1" t="s">
        <v>68</v>
      </c>
      <c r="E42" s="1" t="s">
        <v>14</v>
      </c>
      <c r="F42" s="1" t="s">
        <v>23</v>
      </c>
      <c r="G42" s="2">
        <v>46096</v>
      </c>
      <c r="H42" s="2">
        <v>46097</v>
      </c>
      <c r="I42" s="1">
        <v>22</v>
      </c>
      <c r="J42" s="4" t="s">
        <v>26</v>
      </c>
      <c r="L42" t="str">
        <f t="shared" si="0"/>
        <v/>
      </c>
    </row>
    <row r="43" spans="1:12" x14ac:dyDescent="0.35">
      <c r="A43" s="3" t="s">
        <v>152</v>
      </c>
      <c r="B43" s="1" t="s">
        <v>75</v>
      </c>
      <c r="C43" s="1" t="s">
        <v>103</v>
      </c>
      <c r="D43" s="1" t="s">
        <v>68</v>
      </c>
      <c r="E43" s="1" t="s">
        <v>31</v>
      </c>
      <c r="F43" s="1" t="s">
        <v>63</v>
      </c>
      <c r="G43" s="2">
        <v>46084</v>
      </c>
      <c r="H43" s="2">
        <v>46086</v>
      </c>
      <c r="I43" s="1">
        <v>37</v>
      </c>
      <c r="J43" s="4" t="s">
        <v>39</v>
      </c>
      <c r="L43" t="str">
        <f t="shared" si="0"/>
        <v/>
      </c>
    </row>
    <row r="44" spans="1:12" x14ac:dyDescent="0.35">
      <c r="A44" s="3" t="s">
        <v>154</v>
      </c>
      <c r="B44" s="1" t="s">
        <v>72</v>
      </c>
      <c r="C44" s="1" t="s">
        <v>190</v>
      </c>
      <c r="D44" s="1" t="s">
        <v>30</v>
      </c>
      <c r="E44" s="1" t="s">
        <v>14</v>
      </c>
      <c r="F44" s="1" t="s">
        <v>23</v>
      </c>
      <c r="G44" s="2">
        <v>46092</v>
      </c>
      <c r="H44" s="2">
        <v>46092</v>
      </c>
      <c r="I44" s="1">
        <v>8</v>
      </c>
      <c r="J44" s="4" t="s">
        <v>92</v>
      </c>
      <c r="L44" t="str">
        <f t="shared" si="0"/>
        <v/>
      </c>
    </row>
    <row r="45" spans="1:12" x14ac:dyDescent="0.35">
      <c r="A45" s="3" t="s">
        <v>155</v>
      </c>
      <c r="B45" s="1" t="s">
        <v>156</v>
      </c>
      <c r="C45" s="1" t="s">
        <v>50</v>
      </c>
      <c r="D45" s="1" t="s">
        <v>62</v>
      </c>
      <c r="E45" s="1" t="s">
        <v>31</v>
      </c>
      <c r="F45" s="1" t="s">
        <v>15</v>
      </c>
      <c r="G45" s="2">
        <v>46083</v>
      </c>
      <c r="H45" s="2">
        <v>46084</v>
      </c>
      <c r="I45" s="1">
        <v>25</v>
      </c>
      <c r="J45" s="4" t="s">
        <v>92</v>
      </c>
      <c r="L45" t="str">
        <f t="shared" si="0"/>
        <v/>
      </c>
    </row>
    <row r="46" spans="1:12" x14ac:dyDescent="0.35">
      <c r="A46" s="3" t="s">
        <v>157</v>
      </c>
      <c r="B46" s="1" t="s">
        <v>158</v>
      </c>
      <c r="C46" s="1" t="s">
        <v>50</v>
      </c>
      <c r="D46" s="1" t="s">
        <v>30</v>
      </c>
      <c r="E46" s="1" t="s">
        <v>14</v>
      </c>
      <c r="F46" s="1" t="s">
        <v>56</v>
      </c>
      <c r="G46" s="2">
        <v>46096</v>
      </c>
      <c r="H46" s="2">
        <v>46097</v>
      </c>
      <c r="I46" s="1">
        <v>32</v>
      </c>
      <c r="J46" s="4" t="s">
        <v>39</v>
      </c>
      <c r="L46" t="str">
        <f t="shared" si="0"/>
        <v/>
      </c>
    </row>
    <row r="47" spans="1:12" x14ac:dyDescent="0.35">
      <c r="A47" s="3" t="s">
        <v>159</v>
      </c>
      <c r="B47" s="1" t="s">
        <v>160</v>
      </c>
      <c r="C47" s="1" t="s">
        <v>125</v>
      </c>
      <c r="D47" s="1" t="s">
        <v>22</v>
      </c>
      <c r="E47" s="1" t="s">
        <v>31</v>
      </c>
      <c r="F47" s="1" t="s">
        <v>15</v>
      </c>
      <c r="G47" s="2">
        <v>46095</v>
      </c>
      <c r="H47" s="2">
        <v>46095</v>
      </c>
      <c r="I47" s="1">
        <v>26</v>
      </c>
      <c r="J47" s="4" t="s">
        <v>26</v>
      </c>
      <c r="L47" t="str">
        <f t="shared" si="0"/>
        <v/>
      </c>
    </row>
    <row r="48" spans="1:12" x14ac:dyDescent="0.35">
      <c r="A48" s="3" t="s">
        <v>161</v>
      </c>
      <c r="B48" s="1" t="s">
        <v>162</v>
      </c>
      <c r="C48" s="1" t="s">
        <v>125</v>
      </c>
      <c r="D48" s="1" t="s">
        <v>68</v>
      </c>
      <c r="E48" s="1" t="s">
        <v>14</v>
      </c>
      <c r="F48" s="1" t="s">
        <v>63</v>
      </c>
      <c r="G48" s="2">
        <v>46093</v>
      </c>
      <c r="H48" s="2">
        <v>46094</v>
      </c>
      <c r="I48" s="1">
        <v>38</v>
      </c>
      <c r="J48" s="4" t="s">
        <v>26</v>
      </c>
      <c r="L48" t="str">
        <f t="shared" si="0"/>
        <v/>
      </c>
    </row>
    <row r="49" spans="1:12" x14ac:dyDescent="0.35">
      <c r="A49" s="3" t="s">
        <v>163</v>
      </c>
      <c r="B49" s="1" t="s">
        <v>164</v>
      </c>
      <c r="C49" s="1" t="s">
        <v>50</v>
      </c>
      <c r="D49" s="1" t="s">
        <v>68</v>
      </c>
      <c r="E49" s="1" t="s">
        <v>31</v>
      </c>
      <c r="F49" s="1" t="s">
        <v>117</v>
      </c>
      <c r="G49" s="2">
        <v>46091</v>
      </c>
      <c r="H49" s="2">
        <v>46093</v>
      </c>
      <c r="I49" s="1">
        <v>16</v>
      </c>
      <c r="J49" s="4" t="s">
        <v>26</v>
      </c>
      <c r="L49" t="str">
        <f t="shared" si="0"/>
        <v/>
      </c>
    </row>
    <row r="50" spans="1:12" x14ac:dyDescent="0.35">
      <c r="A50" s="3" t="s">
        <v>165</v>
      </c>
      <c r="B50" s="1" t="s">
        <v>160</v>
      </c>
      <c r="C50" s="1" t="s">
        <v>50</v>
      </c>
      <c r="D50" s="1" t="s">
        <v>68</v>
      </c>
      <c r="E50" s="1" t="s">
        <v>51</v>
      </c>
      <c r="F50" s="1" t="s">
        <v>56</v>
      </c>
      <c r="G50" s="2">
        <v>46084</v>
      </c>
      <c r="H50" s="2">
        <v>46084</v>
      </c>
      <c r="I50" s="1">
        <v>51</v>
      </c>
      <c r="J50" s="4" t="s">
        <v>26</v>
      </c>
      <c r="L50" t="str">
        <f t="shared" si="0"/>
        <v/>
      </c>
    </row>
    <row r="51" spans="1:12" x14ac:dyDescent="0.35">
      <c r="A51" s="3" t="s">
        <v>166</v>
      </c>
      <c r="B51" s="1" t="s">
        <v>75</v>
      </c>
      <c r="C51" s="1" t="s">
        <v>125</v>
      </c>
      <c r="D51" s="1" t="s">
        <v>30</v>
      </c>
      <c r="E51" s="1" t="s">
        <v>51</v>
      </c>
      <c r="F51" s="1" t="s">
        <v>56</v>
      </c>
      <c r="G51" s="2">
        <v>46082</v>
      </c>
      <c r="H51" s="2">
        <v>46082</v>
      </c>
      <c r="I51" s="1">
        <v>32</v>
      </c>
      <c r="J51" s="4" t="s">
        <v>26</v>
      </c>
      <c r="L51" t="str">
        <f t="shared" si="0"/>
        <v/>
      </c>
    </row>
    <row r="52" spans="1:12" x14ac:dyDescent="0.35">
      <c r="A52" s="3" t="s">
        <v>167</v>
      </c>
      <c r="B52" s="1" t="s">
        <v>41</v>
      </c>
      <c r="C52" s="1" t="s">
        <v>190</v>
      </c>
      <c r="D52" s="1" t="s">
        <v>22</v>
      </c>
      <c r="E52" s="1" t="s">
        <v>31</v>
      </c>
      <c r="F52" s="1" t="s">
        <v>69</v>
      </c>
      <c r="G52" s="2">
        <v>46089</v>
      </c>
      <c r="H52" s="2">
        <v>46089</v>
      </c>
      <c r="I52" s="1">
        <v>6</v>
      </c>
      <c r="J52" s="4" t="s">
        <v>92</v>
      </c>
      <c r="L52" t="str">
        <f t="shared" si="0"/>
        <v/>
      </c>
    </row>
    <row r="53" spans="1:12" x14ac:dyDescent="0.35">
      <c r="A53" s="3" t="s">
        <v>168</v>
      </c>
      <c r="B53" s="1" t="s">
        <v>162</v>
      </c>
      <c r="C53" s="1" t="s">
        <v>50</v>
      </c>
      <c r="D53" s="1" t="s">
        <v>68</v>
      </c>
      <c r="E53" s="1" t="s">
        <v>14</v>
      </c>
      <c r="F53" s="1" t="s">
        <v>15</v>
      </c>
      <c r="G53" s="2">
        <v>46094</v>
      </c>
      <c r="H53" s="2">
        <v>46096</v>
      </c>
      <c r="I53" s="1">
        <v>34</v>
      </c>
      <c r="J53" s="4" t="s">
        <v>92</v>
      </c>
      <c r="L53" t="str">
        <f t="shared" si="0"/>
        <v/>
      </c>
    </row>
    <row r="54" spans="1:12" x14ac:dyDescent="0.35">
      <c r="A54" s="3" t="s">
        <v>170</v>
      </c>
      <c r="B54" s="1" t="s">
        <v>113</v>
      </c>
      <c r="C54" s="1" t="s">
        <v>125</v>
      </c>
      <c r="D54" s="1" t="s">
        <v>68</v>
      </c>
      <c r="E54" s="1" t="s">
        <v>14</v>
      </c>
      <c r="F54" s="1" t="s">
        <v>56</v>
      </c>
      <c r="G54" s="2">
        <v>46082</v>
      </c>
      <c r="H54" s="2">
        <v>46083</v>
      </c>
      <c r="I54" s="1">
        <v>19</v>
      </c>
      <c r="J54" s="4" t="s">
        <v>39</v>
      </c>
      <c r="L54" t="str">
        <f t="shared" si="0"/>
        <v/>
      </c>
    </row>
    <row r="55" spans="1:12" x14ac:dyDescent="0.35">
      <c r="A55" s="3" t="s">
        <v>171</v>
      </c>
      <c r="B55" s="1" t="s">
        <v>80</v>
      </c>
      <c r="C55" s="1" t="s">
        <v>50</v>
      </c>
      <c r="D55" s="1" t="s">
        <v>30</v>
      </c>
      <c r="E55" s="1" t="s">
        <v>31</v>
      </c>
      <c r="F55" s="1" t="s">
        <v>15</v>
      </c>
      <c r="G55" s="2">
        <v>46086</v>
      </c>
      <c r="H55" s="2">
        <v>46086</v>
      </c>
      <c r="I55" s="1">
        <v>62</v>
      </c>
      <c r="J55" s="4" t="s">
        <v>26</v>
      </c>
      <c r="L55" t="str">
        <f t="shared" si="0"/>
        <v/>
      </c>
    </row>
    <row r="56" spans="1:12" x14ac:dyDescent="0.35">
      <c r="A56" s="3" t="s">
        <v>172</v>
      </c>
      <c r="B56" s="1" t="s">
        <v>173</v>
      </c>
      <c r="C56" s="1" t="s">
        <v>125</v>
      </c>
      <c r="D56" s="1" t="s">
        <v>68</v>
      </c>
      <c r="E56" s="1" t="s">
        <v>51</v>
      </c>
      <c r="F56" s="1" t="s">
        <v>69</v>
      </c>
      <c r="G56" s="2">
        <v>46085</v>
      </c>
      <c r="H56" s="2">
        <v>46086</v>
      </c>
      <c r="I56" s="1">
        <v>16</v>
      </c>
      <c r="J56" s="4" t="s">
        <v>26</v>
      </c>
      <c r="L56" t="str">
        <f t="shared" si="0"/>
        <v/>
      </c>
    </row>
    <row r="57" spans="1:12" x14ac:dyDescent="0.35">
      <c r="A57" s="3" t="s">
        <v>174</v>
      </c>
      <c r="B57" s="1" t="s">
        <v>120</v>
      </c>
      <c r="C57" s="1" t="s">
        <v>50</v>
      </c>
      <c r="D57" s="1" t="s">
        <v>68</v>
      </c>
      <c r="E57" s="1" t="s">
        <v>51</v>
      </c>
      <c r="F57" s="1" t="s">
        <v>117</v>
      </c>
      <c r="G57" s="2">
        <v>46084</v>
      </c>
      <c r="H57" s="2">
        <v>46086</v>
      </c>
      <c r="I57" s="1">
        <v>72</v>
      </c>
      <c r="J57" s="4" t="s">
        <v>39</v>
      </c>
      <c r="L57" t="str">
        <f t="shared" si="0"/>
        <v/>
      </c>
    </row>
    <row r="58" spans="1:12" x14ac:dyDescent="0.35">
      <c r="A58" s="3" t="s">
        <v>175</v>
      </c>
      <c r="B58" s="1" t="s">
        <v>89</v>
      </c>
      <c r="C58" s="1" t="s">
        <v>103</v>
      </c>
      <c r="D58" s="1" t="s">
        <v>68</v>
      </c>
      <c r="E58" s="1" t="s">
        <v>51</v>
      </c>
      <c r="F58" s="1" t="s">
        <v>56</v>
      </c>
      <c r="G58" s="2">
        <v>46087</v>
      </c>
      <c r="H58" s="2">
        <v>46089</v>
      </c>
      <c r="I58" s="1">
        <v>12</v>
      </c>
      <c r="J58" s="4" t="s">
        <v>26</v>
      </c>
      <c r="L58" t="str">
        <f t="shared" si="0"/>
        <v/>
      </c>
    </row>
    <row r="59" spans="1:12" x14ac:dyDescent="0.35">
      <c r="A59" s="3" t="s">
        <v>176</v>
      </c>
      <c r="B59" s="1" t="s">
        <v>173</v>
      </c>
      <c r="C59" s="1" t="s">
        <v>125</v>
      </c>
      <c r="D59" s="1" t="s">
        <v>22</v>
      </c>
      <c r="E59" s="1" t="s">
        <v>31</v>
      </c>
      <c r="F59" s="1" t="s">
        <v>117</v>
      </c>
      <c r="G59" s="2">
        <v>46090</v>
      </c>
      <c r="H59" s="2">
        <v>46091</v>
      </c>
      <c r="I59" s="1">
        <v>12</v>
      </c>
      <c r="J59" s="4" t="s">
        <v>39</v>
      </c>
      <c r="L59" t="str">
        <f t="shared" si="0"/>
        <v/>
      </c>
    </row>
    <row r="60" spans="1:12" x14ac:dyDescent="0.35">
      <c r="A60" s="3" t="s">
        <v>179</v>
      </c>
      <c r="B60" s="1" t="s">
        <v>158</v>
      </c>
      <c r="C60" s="1" t="s">
        <v>190</v>
      </c>
      <c r="D60" s="1" t="s">
        <v>62</v>
      </c>
      <c r="E60" s="1" t="s">
        <v>31</v>
      </c>
      <c r="F60" s="1" t="s">
        <v>23</v>
      </c>
      <c r="G60" s="2">
        <v>46089</v>
      </c>
      <c r="H60" s="2">
        <v>46090</v>
      </c>
      <c r="I60" s="1">
        <v>62</v>
      </c>
      <c r="J60" s="4" t="s">
        <v>26</v>
      </c>
      <c r="L60" t="str">
        <f t="shared" si="0"/>
        <v/>
      </c>
    </row>
    <row r="61" spans="1:12" x14ac:dyDescent="0.35">
      <c r="A61" s="3" t="s">
        <v>180</v>
      </c>
      <c r="B61" s="1" t="s">
        <v>145</v>
      </c>
      <c r="C61" s="1" t="s">
        <v>190</v>
      </c>
      <c r="D61" s="1" t="s">
        <v>22</v>
      </c>
      <c r="E61" s="1" t="s">
        <v>51</v>
      </c>
      <c r="F61" s="1" t="s">
        <v>15</v>
      </c>
      <c r="G61" s="2">
        <v>46086</v>
      </c>
      <c r="H61" s="2">
        <v>46086</v>
      </c>
      <c r="I61" s="1">
        <v>36</v>
      </c>
      <c r="J61" s="4" t="s">
        <v>39</v>
      </c>
      <c r="L61" t="str">
        <f t="shared" si="0"/>
        <v/>
      </c>
    </row>
    <row r="62" spans="1:12" x14ac:dyDescent="0.35">
      <c r="A62" s="3" t="s">
        <v>181</v>
      </c>
      <c r="B62" s="1" t="s">
        <v>182</v>
      </c>
      <c r="C62" s="1" t="s">
        <v>45</v>
      </c>
      <c r="D62" s="1" t="s">
        <v>62</v>
      </c>
      <c r="E62" s="1" t="s">
        <v>31</v>
      </c>
      <c r="F62" s="1" t="s">
        <v>117</v>
      </c>
      <c r="G62" s="2">
        <v>46089</v>
      </c>
      <c r="H62" s="2">
        <v>46089</v>
      </c>
      <c r="I62" s="1">
        <v>15</v>
      </c>
      <c r="J62" s="4" t="s">
        <v>26</v>
      </c>
      <c r="L62" t="str">
        <f t="shared" si="0"/>
        <v/>
      </c>
    </row>
    <row r="63" spans="1:12" x14ac:dyDescent="0.35">
      <c r="A63" s="3" t="s">
        <v>183</v>
      </c>
      <c r="B63" s="1" t="s">
        <v>41</v>
      </c>
      <c r="C63" s="1" t="s">
        <v>50</v>
      </c>
      <c r="D63" s="1" t="s">
        <v>22</v>
      </c>
      <c r="E63" s="1" t="s">
        <v>51</v>
      </c>
      <c r="F63" s="1" t="s">
        <v>63</v>
      </c>
      <c r="G63" s="2">
        <v>46095</v>
      </c>
      <c r="H63" s="2">
        <v>46098</v>
      </c>
      <c r="I63" s="1">
        <v>51</v>
      </c>
      <c r="J63" s="4" t="s">
        <v>26</v>
      </c>
      <c r="L63" t="str">
        <f t="shared" si="0"/>
        <v/>
      </c>
    </row>
    <row r="64" spans="1:12" x14ac:dyDescent="0.35">
      <c r="A64" s="3" t="s">
        <v>185</v>
      </c>
      <c r="B64" s="1" t="s">
        <v>113</v>
      </c>
      <c r="C64" s="1" t="s">
        <v>45</v>
      </c>
      <c r="D64" s="1" t="s">
        <v>62</v>
      </c>
      <c r="E64" s="1" t="s">
        <v>31</v>
      </c>
      <c r="F64" s="1" t="s">
        <v>15</v>
      </c>
      <c r="G64" s="2">
        <v>46084</v>
      </c>
      <c r="H64" s="2">
        <v>46084</v>
      </c>
      <c r="I64" s="1">
        <v>37</v>
      </c>
      <c r="J64" s="4" t="s">
        <v>26</v>
      </c>
      <c r="L64" t="str">
        <f t="shared" si="0"/>
        <v/>
      </c>
    </row>
    <row r="65" spans="1:12" x14ac:dyDescent="0.35">
      <c r="A65" s="3" t="s">
        <v>186</v>
      </c>
      <c r="B65" s="1" t="s">
        <v>44</v>
      </c>
      <c r="C65" s="1" t="s">
        <v>12</v>
      </c>
      <c r="D65" s="1" t="s">
        <v>22</v>
      </c>
      <c r="E65" s="1" t="s">
        <v>51</v>
      </c>
      <c r="F65" s="1" t="s">
        <v>23</v>
      </c>
      <c r="G65" s="2">
        <v>46090</v>
      </c>
      <c r="H65" s="2">
        <v>46090</v>
      </c>
      <c r="I65" s="1">
        <v>45</v>
      </c>
      <c r="J65" s="4" t="s">
        <v>39</v>
      </c>
      <c r="L65" t="str">
        <f t="shared" si="0"/>
        <v/>
      </c>
    </row>
    <row r="66" spans="1:12" x14ac:dyDescent="0.35">
      <c r="A66" s="3" t="s">
        <v>187</v>
      </c>
      <c r="B66" s="1" t="s">
        <v>188</v>
      </c>
      <c r="C66" s="1" t="s">
        <v>125</v>
      </c>
      <c r="D66" s="1" t="s">
        <v>68</v>
      </c>
      <c r="E66" s="1" t="s">
        <v>51</v>
      </c>
      <c r="F66" s="1" t="s">
        <v>56</v>
      </c>
      <c r="G66" s="2">
        <v>46088</v>
      </c>
      <c r="H66" s="2">
        <v>46088</v>
      </c>
      <c r="I66" s="1">
        <v>12</v>
      </c>
      <c r="J66" s="4" t="s">
        <v>26</v>
      </c>
      <c r="L66" t="str">
        <f t="shared" si="0"/>
        <v/>
      </c>
    </row>
    <row r="67" spans="1:12" x14ac:dyDescent="0.35">
      <c r="A67" s="3" t="s">
        <v>189</v>
      </c>
      <c r="B67" s="1" t="s">
        <v>113</v>
      </c>
      <c r="C67" s="1" t="s">
        <v>190</v>
      </c>
      <c r="D67" s="1" t="s">
        <v>22</v>
      </c>
      <c r="E67" s="1" t="s">
        <v>14</v>
      </c>
      <c r="F67" s="1" t="s">
        <v>56</v>
      </c>
      <c r="G67" s="2">
        <v>46082</v>
      </c>
      <c r="H67" s="2">
        <v>46084</v>
      </c>
      <c r="I67" s="1">
        <v>38</v>
      </c>
      <c r="J67" s="4" t="s">
        <v>26</v>
      </c>
      <c r="L67" t="str">
        <f t="shared" ref="L67:L128" si="1">PROPER(K67)</f>
        <v/>
      </c>
    </row>
    <row r="68" spans="1:12" x14ac:dyDescent="0.35">
      <c r="A68" s="3" t="s">
        <v>191</v>
      </c>
      <c r="B68" s="1" t="s">
        <v>158</v>
      </c>
      <c r="C68" s="1" t="s">
        <v>50</v>
      </c>
      <c r="D68" s="1" t="s">
        <v>30</v>
      </c>
      <c r="E68" s="1" t="s">
        <v>31</v>
      </c>
      <c r="F68" s="1" t="s">
        <v>117</v>
      </c>
      <c r="G68" s="2">
        <v>46092</v>
      </c>
      <c r="H68" s="2">
        <v>46094</v>
      </c>
      <c r="I68" s="1">
        <v>67</v>
      </c>
      <c r="J68" s="4" t="s">
        <v>39</v>
      </c>
      <c r="L68" t="str">
        <f t="shared" si="1"/>
        <v/>
      </c>
    </row>
    <row r="69" spans="1:12" x14ac:dyDescent="0.35">
      <c r="A69" s="3" t="s">
        <v>192</v>
      </c>
      <c r="B69" s="1" t="s">
        <v>107</v>
      </c>
      <c r="C69" s="1" t="s">
        <v>103</v>
      </c>
      <c r="D69" s="1" t="s">
        <v>62</v>
      </c>
      <c r="E69" s="1" t="s">
        <v>14</v>
      </c>
      <c r="F69" s="1" t="s">
        <v>23</v>
      </c>
      <c r="G69" s="2">
        <v>46088</v>
      </c>
      <c r="H69" s="2">
        <v>46088</v>
      </c>
      <c r="I69" s="1">
        <v>22</v>
      </c>
      <c r="J69" s="4" t="s">
        <v>26</v>
      </c>
      <c r="L69" t="str">
        <f t="shared" si="1"/>
        <v/>
      </c>
    </row>
    <row r="70" spans="1:12" x14ac:dyDescent="0.35">
      <c r="A70" s="3" t="s">
        <v>193</v>
      </c>
      <c r="B70" s="1" t="s">
        <v>80</v>
      </c>
      <c r="C70" s="1" t="s">
        <v>190</v>
      </c>
      <c r="D70" s="1" t="s">
        <v>68</v>
      </c>
      <c r="E70" s="1" t="s">
        <v>14</v>
      </c>
      <c r="F70" s="1" t="s">
        <v>56</v>
      </c>
      <c r="G70" s="2">
        <v>46096</v>
      </c>
      <c r="H70" s="2">
        <v>46098</v>
      </c>
      <c r="I70" s="1">
        <v>15</v>
      </c>
      <c r="J70" s="4" t="s">
        <v>39</v>
      </c>
      <c r="L70" t="str">
        <f t="shared" si="1"/>
        <v/>
      </c>
    </row>
    <row r="71" spans="1:12" x14ac:dyDescent="0.35">
      <c r="A71" s="3" t="s">
        <v>195</v>
      </c>
      <c r="B71" s="1" t="s">
        <v>110</v>
      </c>
      <c r="C71" s="1" t="s">
        <v>99</v>
      </c>
      <c r="D71" s="1" t="s">
        <v>30</v>
      </c>
      <c r="E71" s="1" t="s">
        <v>31</v>
      </c>
      <c r="F71" s="1" t="s">
        <v>23</v>
      </c>
      <c r="G71" s="2">
        <v>46083</v>
      </c>
      <c r="H71" s="2">
        <v>46084</v>
      </c>
      <c r="I71" s="1">
        <v>45</v>
      </c>
      <c r="J71" s="4" t="s">
        <v>26</v>
      </c>
      <c r="L71" t="str">
        <f t="shared" si="1"/>
        <v/>
      </c>
    </row>
    <row r="72" spans="1:12" x14ac:dyDescent="0.35">
      <c r="A72" s="3" t="s">
        <v>196</v>
      </c>
      <c r="B72" s="1" t="s">
        <v>86</v>
      </c>
      <c r="C72" s="1" t="s">
        <v>50</v>
      </c>
      <c r="D72" s="1" t="s">
        <v>68</v>
      </c>
      <c r="E72" s="1" t="s">
        <v>31</v>
      </c>
      <c r="F72" s="1" t="s">
        <v>15</v>
      </c>
      <c r="G72" s="2">
        <v>46082</v>
      </c>
      <c r="H72" s="2">
        <v>46084</v>
      </c>
      <c r="I72" s="1">
        <v>5</v>
      </c>
      <c r="J72" s="4" t="s">
        <v>26</v>
      </c>
      <c r="L72" t="str">
        <f t="shared" si="1"/>
        <v/>
      </c>
    </row>
    <row r="73" spans="1:12" x14ac:dyDescent="0.35">
      <c r="A73" s="3" t="s">
        <v>197</v>
      </c>
      <c r="B73" s="1" t="s">
        <v>160</v>
      </c>
      <c r="C73" s="1" t="s">
        <v>125</v>
      </c>
      <c r="D73" s="1" t="s">
        <v>30</v>
      </c>
      <c r="E73" s="1" t="s">
        <v>14</v>
      </c>
      <c r="F73" s="1" t="s">
        <v>117</v>
      </c>
      <c r="G73" s="2">
        <v>46084</v>
      </c>
      <c r="H73" s="2">
        <v>46086</v>
      </c>
      <c r="I73" s="1">
        <v>20</v>
      </c>
      <c r="J73" s="4" t="s">
        <v>26</v>
      </c>
      <c r="L73" t="str">
        <f t="shared" si="1"/>
        <v/>
      </c>
    </row>
    <row r="74" spans="1:12" x14ac:dyDescent="0.35">
      <c r="A74" s="3" t="s">
        <v>198</v>
      </c>
      <c r="B74" s="1" t="s">
        <v>66</v>
      </c>
      <c r="C74" s="1" t="s">
        <v>125</v>
      </c>
      <c r="D74" s="1" t="s">
        <v>30</v>
      </c>
      <c r="E74" s="1" t="s">
        <v>31</v>
      </c>
      <c r="F74" s="1" t="s">
        <v>117</v>
      </c>
      <c r="G74" s="2">
        <v>46089</v>
      </c>
      <c r="H74" s="2">
        <v>46091</v>
      </c>
      <c r="I74" s="1"/>
      <c r="J74" s="4" t="s">
        <v>39</v>
      </c>
      <c r="L74" t="str">
        <f t="shared" si="1"/>
        <v/>
      </c>
    </row>
    <row r="75" spans="1:12" x14ac:dyDescent="0.35">
      <c r="A75" s="3" t="s">
        <v>199</v>
      </c>
      <c r="B75" s="1" t="s">
        <v>60</v>
      </c>
      <c r="C75" s="1" t="s">
        <v>12</v>
      </c>
      <c r="D75" s="1" t="s">
        <v>62</v>
      </c>
      <c r="E75" s="1" t="s">
        <v>31</v>
      </c>
      <c r="F75" s="1" t="s">
        <v>63</v>
      </c>
      <c r="G75" s="2">
        <v>46094</v>
      </c>
      <c r="H75" s="2">
        <v>46094</v>
      </c>
      <c r="I75" s="1">
        <v>2</v>
      </c>
      <c r="J75" s="4" t="s">
        <v>26</v>
      </c>
      <c r="L75" t="str">
        <f t="shared" si="1"/>
        <v/>
      </c>
    </row>
    <row r="76" spans="1:12" x14ac:dyDescent="0.35">
      <c r="A76" s="3" t="s">
        <v>201</v>
      </c>
      <c r="B76" s="1" t="s">
        <v>202</v>
      </c>
      <c r="C76" s="1" t="s">
        <v>50</v>
      </c>
      <c r="D76" s="1" t="s">
        <v>30</v>
      </c>
      <c r="E76" s="1" t="s">
        <v>31</v>
      </c>
      <c r="F76" s="1" t="s">
        <v>56</v>
      </c>
      <c r="G76" s="2">
        <v>46084</v>
      </c>
      <c r="H76" s="2">
        <v>46086</v>
      </c>
      <c r="I76" s="1">
        <v>39</v>
      </c>
      <c r="J76" s="4" t="s">
        <v>92</v>
      </c>
      <c r="L76" t="str">
        <f t="shared" si="1"/>
        <v/>
      </c>
    </row>
    <row r="77" spans="1:12" x14ac:dyDescent="0.35">
      <c r="A77" s="3" t="s">
        <v>203</v>
      </c>
      <c r="B77" s="1" t="s">
        <v>110</v>
      </c>
      <c r="C77" s="1" t="s">
        <v>12</v>
      </c>
      <c r="D77" s="1" t="s">
        <v>30</v>
      </c>
      <c r="E77" s="1" t="s">
        <v>51</v>
      </c>
      <c r="F77" s="1" t="s">
        <v>117</v>
      </c>
      <c r="G77" s="2">
        <v>46089</v>
      </c>
      <c r="H77" s="2">
        <v>46089</v>
      </c>
      <c r="I77" s="1">
        <v>16</v>
      </c>
      <c r="J77" s="4" t="s">
        <v>92</v>
      </c>
      <c r="L77" t="str">
        <f t="shared" si="1"/>
        <v/>
      </c>
    </row>
    <row r="78" spans="1:12" x14ac:dyDescent="0.35">
      <c r="A78" s="3" t="s">
        <v>204</v>
      </c>
      <c r="B78" s="1" t="s">
        <v>35</v>
      </c>
      <c r="C78" s="1" t="s">
        <v>50</v>
      </c>
      <c r="D78" s="1" t="s">
        <v>68</v>
      </c>
      <c r="E78" s="1" t="s">
        <v>14</v>
      </c>
      <c r="F78" s="1" t="s">
        <v>63</v>
      </c>
      <c r="G78" s="2">
        <v>46096</v>
      </c>
      <c r="H78" s="2">
        <v>46096</v>
      </c>
      <c r="I78" s="1">
        <v>54</v>
      </c>
      <c r="J78" s="4" t="s">
        <v>26</v>
      </c>
      <c r="L78" t="str">
        <f t="shared" si="1"/>
        <v/>
      </c>
    </row>
    <row r="79" spans="1:12" x14ac:dyDescent="0.35">
      <c r="A79" s="3" t="s">
        <v>205</v>
      </c>
      <c r="B79" s="1" t="s">
        <v>206</v>
      </c>
      <c r="C79" s="1" t="s">
        <v>45</v>
      </c>
      <c r="D79" s="1" t="s">
        <v>30</v>
      </c>
      <c r="E79" s="1" t="s">
        <v>51</v>
      </c>
      <c r="F79" s="1" t="s">
        <v>56</v>
      </c>
      <c r="G79" s="2">
        <v>46094</v>
      </c>
      <c r="H79" s="2">
        <v>46094</v>
      </c>
      <c r="I79" s="1">
        <v>2</v>
      </c>
      <c r="J79" s="4" t="s">
        <v>26</v>
      </c>
      <c r="L79" t="str">
        <f t="shared" si="1"/>
        <v/>
      </c>
    </row>
    <row r="80" spans="1:12" x14ac:dyDescent="0.35">
      <c r="A80" s="3" t="s">
        <v>207</v>
      </c>
      <c r="B80" s="1" t="s">
        <v>102</v>
      </c>
      <c r="C80" s="1" t="s">
        <v>45</v>
      </c>
      <c r="D80" s="1" t="s">
        <v>68</v>
      </c>
      <c r="E80" s="1" t="s">
        <v>31</v>
      </c>
      <c r="F80" s="1" t="s">
        <v>63</v>
      </c>
      <c r="G80" s="2">
        <v>46089</v>
      </c>
      <c r="H80" s="2">
        <v>46089</v>
      </c>
      <c r="I80" s="1">
        <v>21</v>
      </c>
      <c r="J80" s="4" t="s">
        <v>39</v>
      </c>
      <c r="L80" t="str">
        <f t="shared" si="1"/>
        <v/>
      </c>
    </row>
    <row r="81" spans="1:12" x14ac:dyDescent="0.35">
      <c r="A81" s="3" t="s">
        <v>208</v>
      </c>
      <c r="B81" s="1" t="s">
        <v>89</v>
      </c>
      <c r="C81" s="1" t="s">
        <v>12</v>
      </c>
      <c r="D81" s="1" t="s">
        <v>22</v>
      </c>
      <c r="E81" s="1" t="s">
        <v>14</v>
      </c>
      <c r="F81" s="1" t="s">
        <v>23</v>
      </c>
      <c r="G81" s="2">
        <v>46092</v>
      </c>
      <c r="H81" s="2">
        <v>46094</v>
      </c>
      <c r="I81" s="1">
        <v>25</v>
      </c>
      <c r="J81" s="4" t="s">
        <v>26</v>
      </c>
      <c r="L81" t="str">
        <f t="shared" si="1"/>
        <v/>
      </c>
    </row>
    <row r="82" spans="1:12" x14ac:dyDescent="0.35">
      <c r="A82" s="3" t="s">
        <v>209</v>
      </c>
      <c r="B82" s="1" t="s">
        <v>72</v>
      </c>
      <c r="C82" s="1" t="s">
        <v>190</v>
      </c>
      <c r="D82" s="1" t="s">
        <v>62</v>
      </c>
      <c r="E82" s="1" t="s">
        <v>51</v>
      </c>
      <c r="F82" s="1" t="s">
        <v>23</v>
      </c>
      <c r="G82" s="2">
        <v>46084</v>
      </c>
      <c r="H82" s="2">
        <v>46086</v>
      </c>
      <c r="I82" s="1">
        <v>21</v>
      </c>
      <c r="J82" s="4" t="s">
        <v>26</v>
      </c>
      <c r="L82" t="str">
        <f t="shared" si="1"/>
        <v/>
      </c>
    </row>
    <row r="83" spans="1:12" x14ac:dyDescent="0.35">
      <c r="A83" s="3" t="s">
        <v>210</v>
      </c>
      <c r="B83" s="1" t="s">
        <v>75</v>
      </c>
      <c r="C83" s="1" t="s">
        <v>190</v>
      </c>
      <c r="D83" s="1" t="s">
        <v>68</v>
      </c>
      <c r="E83" s="1" t="s">
        <v>14</v>
      </c>
      <c r="F83" s="1" t="s">
        <v>69</v>
      </c>
      <c r="G83" s="2">
        <v>46087</v>
      </c>
      <c r="H83" s="2">
        <v>46088</v>
      </c>
      <c r="I83" s="1">
        <v>56</v>
      </c>
      <c r="J83" s="4" t="s">
        <v>26</v>
      </c>
      <c r="L83" t="str">
        <f t="shared" si="1"/>
        <v/>
      </c>
    </row>
    <row r="84" spans="1:12" x14ac:dyDescent="0.35">
      <c r="A84" s="3" t="s">
        <v>211</v>
      </c>
      <c r="B84" s="1" t="s">
        <v>212</v>
      </c>
      <c r="C84" s="1" t="s">
        <v>190</v>
      </c>
      <c r="D84" s="1" t="s">
        <v>68</v>
      </c>
      <c r="E84" s="1" t="s">
        <v>31</v>
      </c>
      <c r="F84" s="1" t="s">
        <v>69</v>
      </c>
      <c r="G84" s="2">
        <v>46093</v>
      </c>
      <c r="H84" s="2">
        <v>46095</v>
      </c>
      <c r="I84" s="1">
        <v>28</v>
      </c>
      <c r="J84" s="4" t="s">
        <v>26</v>
      </c>
      <c r="L84" t="str">
        <f t="shared" si="1"/>
        <v/>
      </c>
    </row>
    <row r="85" spans="1:12" x14ac:dyDescent="0.35">
      <c r="A85" s="3" t="s">
        <v>213</v>
      </c>
      <c r="B85" s="1" t="s">
        <v>72</v>
      </c>
      <c r="C85" s="1" t="s">
        <v>50</v>
      </c>
      <c r="D85" s="1" t="s">
        <v>22</v>
      </c>
      <c r="E85" s="1" t="s">
        <v>31</v>
      </c>
      <c r="F85" s="1" t="s">
        <v>117</v>
      </c>
      <c r="G85" s="2">
        <v>46086</v>
      </c>
      <c r="H85" s="2">
        <v>46087</v>
      </c>
      <c r="I85" s="1">
        <v>9</v>
      </c>
      <c r="J85" s="4" t="s">
        <v>26</v>
      </c>
      <c r="L85" t="str">
        <f t="shared" si="1"/>
        <v/>
      </c>
    </row>
    <row r="86" spans="1:12" x14ac:dyDescent="0.35">
      <c r="A86" s="3" t="s">
        <v>214</v>
      </c>
      <c r="B86" s="1" t="s">
        <v>89</v>
      </c>
      <c r="C86" s="1" t="s">
        <v>190</v>
      </c>
      <c r="D86" s="1" t="s">
        <v>22</v>
      </c>
      <c r="E86" s="1" t="s">
        <v>51</v>
      </c>
      <c r="F86" s="1" t="s">
        <v>15</v>
      </c>
      <c r="G86" s="2">
        <v>46092</v>
      </c>
      <c r="H86" s="2">
        <v>46093</v>
      </c>
      <c r="I86" s="1">
        <v>6</v>
      </c>
      <c r="J86" s="4" t="s">
        <v>92</v>
      </c>
      <c r="L86" t="str">
        <f t="shared" si="1"/>
        <v/>
      </c>
    </row>
    <row r="87" spans="1:12" x14ac:dyDescent="0.35">
      <c r="A87" s="3" t="s">
        <v>216</v>
      </c>
      <c r="B87" s="1" t="s">
        <v>89</v>
      </c>
      <c r="C87" s="1" t="s">
        <v>190</v>
      </c>
      <c r="D87" s="1" t="s">
        <v>62</v>
      </c>
      <c r="E87" s="1" t="s">
        <v>14</v>
      </c>
      <c r="F87" s="1" t="s">
        <v>15</v>
      </c>
      <c r="G87" s="2">
        <v>46093</v>
      </c>
      <c r="H87" s="2">
        <v>46094</v>
      </c>
      <c r="I87" s="1">
        <v>69</v>
      </c>
      <c r="J87" s="4" t="s">
        <v>26</v>
      </c>
      <c r="L87" t="str">
        <f t="shared" si="1"/>
        <v/>
      </c>
    </row>
    <row r="88" spans="1:12" x14ac:dyDescent="0.35">
      <c r="A88" s="3" t="s">
        <v>217</v>
      </c>
      <c r="B88" s="1" t="s">
        <v>60</v>
      </c>
      <c r="C88" s="1" t="s">
        <v>50</v>
      </c>
      <c r="D88" s="1" t="s">
        <v>68</v>
      </c>
      <c r="E88" s="1" t="s">
        <v>51</v>
      </c>
      <c r="F88" s="1" t="s">
        <v>15</v>
      </c>
      <c r="G88" s="2">
        <v>46087</v>
      </c>
      <c r="H88" s="2">
        <v>46089</v>
      </c>
      <c r="I88" s="1">
        <v>9</v>
      </c>
      <c r="J88" s="4" t="s">
        <v>39</v>
      </c>
      <c r="L88" t="str">
        <f t="shared" si="1"/>
        <v/>
      </c>
    </row>
    <row r="89" spans="1:12" x14ac:dyDescent="0.35">
      <c r="A89" s="3" t="s">
        <v>218</v>
      </c>
      <c r="B89" s="1" t="s">
        <v>113</v>
      </c>
      <c r="C89" s="1" t="s">
        <v>50</v>
      </c>
      <c r="D89" s="1" t="s">
        <v>62</v>
      </c>
      <c r="E89" s="1" t="s">
        <v>31</v>
      </c>
      <c r="F89" s="1" t="s">
        <v>117</v>
      </c>
      <c r="G89" s="2">
        <v>46095</v>
      </c>
      <c r="H89" s="2">
        <v>46095</v>
      </c>
      <c r="I89" s="1"/>
      <c r="J89" s="4" t="s">
        <v>92</v>
      </c>
      <c r="L89" t="str">
        <f t="shared" si="1"/>
        <v/>
      </c>
    </row>
    <row r="90" spans="1:12" x14ac:dyDescent="0.35">
      <c r="A90" s="3" t="s">
        <v>219</v>
      </c>
      <c r="B90" s="1" t="s">
        <v>220</v>
      </c>
      <c r="C90" s="1" t="s">
        <v>125</v>
      </c>
      <c r="D90" s="1" t="s">
        <v>30</v>
      </c>
      <c r="E90" s="1" t="s">
        <v>14</v>
      </c>
      <c r="F90" s="1" t="s">
        <v>15</v>
      </c>
      <c r="G90" s="2">
        <v>46084</v>
      </c>
      <c r="H90" s="2">
        <v>46086</v>
      </c>
      <c r="I90" s="1"/>
      <c r="J90" s="4" t="s">
        <v>26</v>
      </c>
      <c r="L90" t="str">
        <f t="shared" si="1"/>
        <v/>
      </c>
    </row>
    <row r="91" spans="1:12" x14ac:dyDescent="0.35">
      <c r="A91" s="3" t="s">
        <v>221</v>
      </c>
      <c r="B91" s="1" t="s">
        <v>156</v>
      </c>
      <c r="C91" s="1" t="s">
        <v>45</v>
      </c>
      <c r="D91" s="1" t="s">
        <v>62</v>
      </c>
      <c r="E91" s="1" t="s">
        <v>31</v>
      </c>
      <c r="F91" s="1" t="s">
        <v>15</v>
      </c>
      <c r="G91" s="2">
        <v>46091</v>
      </c>
      <c r="H91" s="2">
        <v>46092</v>
      </c>
      <c r="I91" s="1">
        <v>20</v>
      </c>
      <c r="J91" s="4" t="s">
        <v>39</v>
      </c>
      <c r="L91" t="str">
        <f t="shared" si="1"/>
        <v/>
      </c>
    </row>
    <row r="92" spans="1:12" x14ac:dyDescent="0.35">
      <c r="A92" s="3" t="s">
        <v>222</v>
      </c>
      <c r="B92" s="1" t="s">
        <v>151</v>
      </c>
      <c r="C92" s="1" t="s">
        <v>125</v>
      </c>
      <c r="D92" s="1" t="s">
        <v>62</v>
      </c>
      <c r="E92" s="1" t="s">
        <v>31</v>
      </c>
      <c r="F92" s="1" t="s">
        <v>15</v>
      </c>
      <c r="G92" s="2">
        <v>46083</v>
      </c>
      <c r="H92" s="2">
        <v>46083</v>
      </c>
      <c r="I92" s="1">
        <v>8</v>
      </c>
      <c r="J92" s="4" t="s">
        <v>92</v>
      </c>
      <c r="L92" t="str">
        <f t="shared" si="1"/>
        <v/>
      </c>
    </row>
    <row r="93" spans="1:12" x14ac:dyDescent="0.35">
      <c r="A93" s="3" t="s">
        <v>224</v>
      </c>
      <c r="B93" s="1" t="s">
        <v>160</v>
      </c>
      <c r="C93" s="1" t="s">
        <v>50</v>
      </c>
      <c r="D93" s="1" t="s">
        <v>22</v>
      </c>
      <c r="E93" s="1" t="s">
        <v>51</v>
      </c>
      <c r="F93" s="1" t="s">
        <v>69</v>
      </c>
      <c r="G93" s="2">
        <v>46093</v>
      </c>
      <c r="H93" s="2">
        <v>46093</v>
      </c>
      <c r="I93" s="1">
        <v>6</v>
      </c>
      <c r="J93" s="4" t="s">
        <v>92</v>
      </c>
      <c r="L93" t="str">
        <f t="shared" si="1"/>
        <v/>
      </c>
    </row>
    <row r="94" spans="1:12" x14ac:dyDescent="0.35">
      <c r="A94" s="3" t="s">
        <v>225</v>
      </c>
      <c r="B94" s="1" t="s">
        <v>173</v>
      </c>
      <c r="C94" s="1" t="s">
        <v>125</v>
      </c>
      <c r="D94" s="1" t="s">
        <v>22</v>
      </c>
      <c r="E94" s="1" t="s">
        <v>14</v>
      </c>
      <c r="F94" s="1" t="s">
        <v>63</v>
      </c>
      <c r="G94" s="2">
        <v>46094</v>
      </c>
      <c r="H94" s="2">
        <v>46096</v>
      </c>
      <c r="I94" s="1">
        <v>48</v>
      </c>
      <c r="J94" s="4" t="s">
        <v>39</v>
      </c>
      <c r="L94" t="str">
        <f t="shared" si="1"/>
        <v/>
      </c>
    </row>
    <row r="95" spans="1:12" x14ac:dyDescent="0.35">
      <c r="A95" s="3" t="s">
        <v>226</v>
      </c>
      <c r="B95" s="1" t="s">
        <v>212</v>
      </c>
      <c r="C95" s="1" t="s">
        <v>45</v>
      </c>
      <c r="D95" s="1" t="s">
        <v>30</v>
      </c>
      <c r="E95" s="1" t="s">
        <v>51</v>
      </c>
      <c r="F95" s="1" t="s">
        <v>56</v>
      </c>
      <c r="G95" s="2">
        <v>46094</v>
      </c>
      <c r="H95" s="2">
        <v>46095</v>
      </c>
      <c r="I95" s="1">
        <v>60</v>
      </c>
      <c r="J95" s="4" t="s">
        <v>26</v>
      </c>
      <c r="L95" t="str">
        <f t="shared" si="1"/>
        <v/>
      </c>
    </row>
    <row r="96" spans="1:12" x14ac:dyDescent="0.35">
      <c r="A96" s="3" t="s">
        <v>227</v>
      </c>
      <c r="B96" s="1" t="s">
        <v>86</v>
      </c>
      <c r="C96" s="1" t="s">
        <v>190</v>
      </c>
      <c r="D96" s="1" t="s">
        <v>30</v>
      </c>
      <c r="E96" s="1" t="s">
        <v>31</v>
      </c>
      <c r="F96" s="1" t="s">
        <v>117</v>
      </c>
      <c r="G96" s="2">
        <v>46089</v>
      </c>
      <c r="H96" s="2">
        <v>46090</v>
      </c>
      <c r="I96" s="1">
        <v>36</v>
      </c>
      <c r="J96" s="4" t="s">
        <v>92</v>
      </c>
      <c r="L96" t="str">
        <f t="shared" si="1"/>
        <v/>
      </c>
    </row>
    <row r="97" spans="1:12" x14ac:dyDescent="0.35">
      <c r="A97" s="3" t="s">
        <v>228</v>
      </c>
      <c r="B97" s="1" t="s">
        <v>229</v>
      </c>
      <c r="C97" s="1" t="s">
        <v>12</v>
      </c>
      <c r="D97" s="1" t="s">
        <v>68</v>
      </c>
      <c r="E97" s="1" t="s">
        <v>31</v>
      </c>
      <c r="F97" s="1" t="s">
        <v>15</v>
      </c>
      <c r="G97" s="2">
        <v>46089</v>
      </c>
      <c r="H97" s="2">
        <v>46089</v>
      </c>
      <c r="I97" s="1">
        <v>53</v>
      </c>
      <c r="J97" s="4" t="s">
        <v>92</v>
      </c>
      <c r="L97" t="str">
        <f t="shared" si="1"/>
        <v/>
      </c>
    </row>
    <row r="98" spans="1:12" x14ac:dyDescent="0.35">
      <c r="A98" s="3" t="s">
        <v>230</v>
      </c>
      <c r="B98" s="1" t="s">
        <v>35</v>
      </c>
      <c r="C98" s="1" t="s">
        <v>190</v>
      </c>
      <c r="D98" s="1" t="s">
        <v>30</v>
      </c>
      <c r="E98" s="1" t="s">
        <v>31</v>
      </c>
      <c r="F98" s="1" t="s">
        <v>117</v>
      </c>
      <c r="G98" s="2">
        <v>46091</v>
      </c>
      <c r="H98" s="2">
        <v>46092</v>
      </c>
      <c r="I98" s="1"/>
      <c r="J98" s="4" t="s">
        <v>39</v>
      </c>
      <c r="L98" t="str">
        <f t="shared" si="1"/>
        <v/>
      </c>
    </row>
    <row r="99" spans="1:12" x14ac:dyDescent="0.35">
      <c r="A99" s="3" t="s">
        <v>231</v>
      </c>
      <c r="B99" s="1" t="s">
        <v>28</v>
      </c>
      <c r="C99" s="1" t="s">
        <v>125</v>
      </c>
      <c r="D99" s="1" t="s">
        <v>30</v>
      </c>
      <c r="E99" s="1" t="s">
        <v>14</v>
      </c>
      <c r="F99" s="1" t="s">
        <v>63</v>
      </c>
      <c r="G99" s="2">
        <v>46093</v>
      </c>
      <c r="H99" s="2">
        <v>46094</v>
      </c>
      <c r="I99" s="1">
        <v>31</v>
      </c>
      <c r="J99" s="4" t="s">
        <v>39</v>
      </c>
      <c r="L99" t="str">
        <f t="shared" si="1"/>
        <v/>
      </c>
    </row>
    <row r="100" spans="1:12" x14ac:dyDescent="0.35">
      <c r="A100" s="3" t="s">
        <v>232</v>
      </c>
      <c r="B100" s="1" t="s">
        <v>233</v>
      </c>
      <c r="C100" s="1" t="s">
        <v>50</v>
      </c>
      <c r="D100" s="1" t="s">
        <v>22</v>
      </c>
      <c r="E100" s="1" t="s">
        <v>14</v>
      </c>
      <c r="F100" s="1" t="s">
        <v>15</v>
      </c>
      <c r="G100" s="2">
        <v>46093</v>
      </c>
      <c r="H100" s="2">
        <v>46095</v>
      </c>
      <c r="I100" s="1">
        <v>60</v>
      </c>
      <c r="J100" s="4" t="s">
        <v>39</v>
      </c>
      <c r="L100" t="str">
        <f t="shared" si="1"/>
        <v/>
      </c>
    </row>
    <row r="101" spans="1:12" x14ac:dyDescent="0.35">
      <c r="A101" s="3" t="s">
        <v>234</v>
      </c>
      <c r="B101" s="1" t="s">
        <v>75</v>
      </c>
      <c r="C101" s="1" t="s">
        <v>99</v>
      </c>
      <c r="D101" s="1" t="s">
        <v>62</v>
      </c>
      <c r="E101" s="1" t="s">
        <v>31</v>
      </c>
      <c r="F101" s="1" t="s">
        <v>69</v>
      </c>
      <c r="G101" s="2">
        <v>46082</v>
      </c>
      <c r="H101" s="2">
        <v>46082</v>
      </c>
      <c r="I101" s="1">
        <v>39</v>
      </c>
      <c r="J101" s="4" t="s">
        <v>92</v>
      </c>
      <c r="L101" t="str">
        <f t="shared" si="1"/>
        <v/>
      </c>
    </row>
    <row r="102" spans="1:12" x14ac:dyDescent="0.35">
      <c r="A102" s="3" t="s">
        <v>235</v>
      </c>
      <c r="B102" s="1" t="s">
        <v>188</v>
      </c>
      <c r="C102" s="1" t="s">
        <v>45</v>
      </c>
      <c r="D102" s="1" t="s">
        <v>22</v>
      </c>
      <c r="E102" s="1" t="s">
        <v>14</v>
      </c>
      <c r="F102" s="1" t="s">
        <v>15</v>
      </c>
      <c r="G102" s="2">
        <v>46093</v>
      </c>
      <c r="H102" s="2">
        <v>46094</v>
      </c>
      <c r="I102" s="1">
        <v>48</v>
      </c>
      <c r="J102" s="4" t="s">
        <v>26</v>
      </c>
      <c r="L102" t="str">
        <f t="shared" si="1"/>
        <v/>
      </c>
    </row>
    <row r="103" spans="1:12" x14ac:dyDescent="0.35">
      <c r="A103" s="3" t="s">
        <v>236</v>
      </c>
      <c r="B103" s="1" t="s">
        <v>60</v>
      </c>
      <c r="C103" s="1" t="s">
        <v>50</v>
      </c>
      <c r="D103" s="1" t="s">
        <v>22</v>
      </c>
      <c r="E103" s="1" t="s">
        <v>51</v>
      </c>
      <c r="F103" s="1" t="s">
        <v>69</v>
      </c>
      <c r="G103" s="2">
        <v>46096</v>
      </c>
      <c r="H103" s="2">
        <v>46098</v>
      </c>
      <c r="I103" s="1">
        <v>12</v>
      </c>
      <c r="J103" s="4" t="s">
        <v>39</v>
      </c>
      <c r="L103" t="str">
        <f t="shared" si="1"/>
        <v/>
      </c>
    </row>
    <row r="104" spans="1:12" x14ac:dyDescent="0.35">
      <c r="A104" s="3" t="s">
        <v>237</v>
      </c>
      <c r="B104" s="1" t="s">
        <v>206</v>
      </c>
      <c r="C104" s="1" t="s">
        <v>190</v>
      </c>
      <c r="D104" s="1" t="s">
        <v>30</v>
      </c>
      <c r="E104" s="1" t="s">
        <v>51</v>
      </c>
      <c r="F104" s="1" t="s">
        <v>56</v>
      </c>
      <c r="G104" s="2">
        <v>46090</v>
      </c>
      <c r="H104" s="2">
        <v>46092</v>
      </c>
      <c r="I104" s="1">
        <v>64</v>
      </c>
      <c r="J104" s="4" t="s">
        <v>26</v>
      </c>
      <c r="L104" t="str">
        <f t="shared" si="1"/>
        <v/>
      </c>
    </row>
    <row r="105" spans="1:12" x14ac:dyDescent="0.35">
      <c r="A105" s="3" t="s">
        <v>238</v>
      </c>
      <c r="B105" s="1" t="s">
        <v>233</v>
      </c>
      <c r="C105" s="1" t="s">
        <v>190</v>
      </c>
      <c r="D105" s="1" t="s">
        <v>68</v>
      </c>
      <c r="E105" s="1" t="s">
        <v>14</v>
      </c>
      <c r="F105" s="1" t="s">
        <v>56</v>
      </c>
      <c r="G105" s="2">
        <v>46096</v>
      </c>
      <c r="H105" s="2">
        <v>46096</v>
      </c>
      <c r="I105" s="1">
        <v>3</v>
      </c>
      <c r="J105" s="4" t="s">
        <v>39</v>
      </c>
      <c r="L105" t="str">
        <f t="shared" si="1"/>
        <v/>
      </c>
    </row>
    <row r="106" spans="1:12" x14ac:dyDescent="0.35">
      <c r="A106" s="3" t="s">
        <v>239</v>
      </c>
      <c r="B106" s="1" t="s">
        <v>202</v>
      </c>
      <c r="C106" s="1" t="s">
        <v>50</v>
      </c>
      <c r="D106" s="1" t="s">
        <v>30</v>
      </c>
      <c r="E106" s="1" t="s">
        <v>51</v>
      </c>
      <c r="F106" s="1" t="s">
        <v>23</v>
      </c>
      <c r="G106" s="2">
        <v>46086</v>
      </c>
      <c r="H106" s="2">
        <v>46086</v>
      </c>
      <c r="I106" s="1">
        <v>72</v>
      </c>
      <c r="J106" s="4" t="s">
        <v>26</v>
      </c>
      <c r="L106" t="str">
        <f t="shared" si="1"/>
        <v/>
      </c>
    </row>
    <row r="107" spans="1:12" x14ac:dyDescent="0.35">
      <c r="A107" s="3" t="s">
        <v>240</v>
      </c>
      <c r="B107" s="1" t="s">
        <v>110</v>
      </c>
      <c r="C107" s="1" t="s">
        <v>50</v>
      </c>
      <c r="D107" s="1" t="s">
        <v>68</v>
      </c>
      <c r="E107" s="1" t="s">
        <v>31</v>
      </c>
      <c r="F107" s="1" t="s">
        <v>56</v>
      </c>
      <c r="G107" s="2">
        <v>46083</v>
      </c>
      <c r="H107" s="2">
        <v>46083</v>
      </c>
      <c r="I107" s="1">
        <v>22</v>
      </c>
      <c r="J107" s="4" t="s">
        <v>26</v>
      </c>
      <c r="L107" t="str">
        <f t="shared" si="1"/>
        <v/>
      </c>
    </row>
    <row r="108" spans="1:12" x14ac:dyDescent="0.35">
      <c r="A108" s="3" t="s">
        <v>241</v>
      </c>
      <c r="B108" s="1" t="s">
        <v>162</v>
      </c>
      <c r="C108" s="1" t="s">
        <v>103</v>
      </c>
      <c r="D108" s="1" t="s">
        <v>22</v>
      </c>
      <c r="E108" s="1" t="s">
        <v>14</v>
      </c>
      <c r="F108" s="1" t="s">
        <v>15</v>
      </c>
      <c r="G108" s="2">
        <v>46086</v>
      </c>
      <c r="H108" s="2">
        <v>46088</v>
      </c>
      <c r="I108" s="1">
        <v>37</v>
      </c>
      <c r="J108" s="4" t="s">
        <v>92</v>
      </c>
      <c r="L108" t="str">
        <f t="shared" si="1"/>
        <v/>
      </c>
    </row>
    <row r="109" spans="1:12" x14ac:dyDescent="0.35">
      <c r="A109" s="3" t="s">
        <v>243</v>
      </c>
      <c r="B109" s="1" t="s">
        <v>110</v>
      </c>
      <c r="C109" s="1" t="s">
        <v>45</v>
      </c>
      <c r="D109" s="1" t="s">
        <v>22</v>
      </c>
      <c r="E109" s="1" t="s">
        <v>51</v>
      </c>
      <c r="F109" s="1" t="s">
        <v>63</v>
      </c>
      <c r="G109" s="2">
        <v>46082</v>
      </c>
      <c r="H109" s="2">
        <v>46084</v>
      </c>
      <c r="I109" s="1">
        <v>26</v>
      </c>
      <c r="J109" s="4" t="s">
        <v>26</v>
      </c>
      <c r="L109" t="str">
        <f t="shared" si="1"/>
        <v/>
      </c>
    </row>
    <row r="110" spans="1:12" x14ac:dyDescent="0.35">
      <c r="A110" s="3" t="s">
        <v>244</v>
      </c>
      <c r="B110" s="1" t="s">
        <v>41</v>
      </c>
      <c r="C110" s="1" t="s">
        <v>50</v>
      </c>
      <c r="D110" s="1" t="s">
        <v>62</v>
      </c>
      <c r="E110" s="1" t="s">
        <v>51</v>
      </c>
      <c r="F110" s="1" t="s">
        <v>15</v>
      </c>
      <c r="G110" s="2">
        <v>46096</v>
      </c>
      <c r="H110" s="2">
        <v>46098</v>
      </c>
      <c r="I110" s="1">
        <v>38</v>
      </c>
      <c r="J110" s="4" t="s">
        <v>92</v>
      </c>
      <c r="L110" t="str">
        <f t="shared" si="1"/>
        <v/>
      </c>
    </row>
    <row r="111" spans="1:12" x14ac:dyDescent="0.35">
      <c r="A111" s="3" t="s">
        <v>245</v>
      </c>
      <c r="B111" s="1" t="s">
        <v>28</v>
      </c>
      <c r="C111" s="1" t="s">
        <v>125</v>
      </c>
      <c r="D111" s="1" t="s">
        <v>62</v>
      </c>
      <c r="E111" s="1" t="s">
        <v>31</v>
      </c>
      <c r="F111" s="1" t="s">
        <v>63</v>
      </c>
      <c r="G111" s="2">
        <v>46084</v>
      </c>
      <c r="H111" s="2">
        <v>46086</v>
      </c>
      <c r="I111" s="1">
        <v>23</v>
      </c>
      <c r="J111" s="4" t="s">
        <v>26</v>
      </c>
      <c r="L111" t="str">
        <f t="shared" si="1"/>
        <v/>
      </c>
    </row>
    <row r="112" spans="1:12" x14ac:dyDescent="0.35">
      <c r="A112" s="3" t="s">
        <v>246</v>
      </c>
      <c r="B112" s="1" t="s">
        <v>89</v>
      </c>
      <c r="C112" s="1" t="s">
        <v>50</v>
      </c>
      <c r="D112" s="1" t="s">
        <v>30</v>
      </c>
      <c r="E112" s="1" t="s">
        <v>31</v>
      </c>
      <c r="F112" s="1" t="s">
        <v>69</v>
      </c>
      <c r="G112" s="2">
        <v>46084</v>
      </c>
      <c r="H112" s="2">
        <v>46086</v>
      </c>
      <c r="I112" s="1">
        <v>12</v>
      </c>
      <c r="J112" s="4" t="s">
        <v>26</v>
      </c>
      <c r="L112" t="str">
        <f t="shared" si="1"/>
        <v/>
      </c>
    </row>
    <row r="113" spans="1:12" x14ac:dyDescent="0.35">
      <c r="A113" s="3" t="s">
        <v>247</v>
      </c>
      <c r="B113" s="1" t="s">
        <v>160</v>
      </c>
      <c r="C113" s="1" t="s">
        <v>103</v>
      </c>
      <c r="D113" s="1" t="s">
        <v>22</v>
      </c>
      <c r="E113" s="1" t="s">
        <v>31</v>
      </c>
      <c r="F113" s="1" t="s">
        <v>63</v>
      </c>
      <c r="G113" s="2">
        <v>46094</v>
      </c>
      <c r="H113" s="2">
        <v>46094</v>
      </c>
      <c r="I113" s="1">
        <v>60</v>
      </c>
      <c r="J113" s="4" t="s">
        <v>26</v>
      </c>
      <c r="L113" t="str">
        <f t="shared" si="1"/>
        <v/>
      </c>
    </row>
    <row r="114" spans="1:12" x14ac:dyDescent="0.35">
      <c r="A114" s="3" t="s">
        <v>248</v>
      </c>
      <c r="B114" s="1" t="s">
        <v>249</v>
      </c>
      <c r="C114" s="1" t="s">
        <v>103</v>
      </c>
      <c r="D114" s="1" t="s">
        <v>22</v>
      </c>
      <c r="E114" s="1" t="s">
        <v>51</v>
      </c>
      <c r="F114" s="1" t="s">
        <v>69</v>
      </c>
      <c r="G114" s="2">
        <v>46084</v>
      </c>
      <c r="H114" s="2">
        <v>46086</v>
      </c>
      <c r="I114" s="1">
        <v>28</v>
      </c>
      <c r="J114" s="4" t="s">
        <v>26</v>
      </c>
      <c r="L114" t="str">
        <f t="shared" si="1"/>
        <v/>
      </c>
    </row>
    <row r="115" spans="1:12" x14ac:dyDescent="0.35">
      <c r="A115" s="3" t="s">
        <v>250</v>
      </c>
      <c r="B115" s="1" t="s">
        <v>80</v>
      </c>
      <c r="C115" s="1" t="s">
        <v>50</v>
      </c>
      <c r="D115" s="1" t="s">
        <v>62</v>
      </c>
      <c r="E115" s="1" t="s">
        <v>51</v>
      </c>
      <c r="F115" s="1" t="s">
        <v>23</v>
      </c>
      <c r="G115" s="2">
        <v>46091</v>
      </c>
      <c r="H115" s="2">
        <v>46093</v>
      </c>
      <c r="I115" s="1"/>
      <c r="J115" s="4" t="s">
        <v>26</v>
      </c>
      <c r="L115" t="str">
        <f t="shared" si="1"/>
        <v/>
      </c>
    </row>
    <row r="116" spans="1:12" x14ac:dyDescent="0.35">
      <c r="A116" s="3" t="s">
        <v>251</v>
      </c>
      <c r="B116" s="1" t="s">
        <v>113</v>
      </c>
      <c r="C116" s="1" t="s">
        <v>12</v>
      </c>
      <c r="D116" s="1" t="s">
        <v>68</v>
      </c>
      <c r="E116" s="1" t="s">
        <v>51</v>
      </c>
      <c r="F116" s="1" t="s">
        <v>63</v>
      </c>
      <c r="G116" s="2">
        <v>46091</v>
      </c>
      <c r="H116" s="2">
        <v>46091</v>
      </c>
      <c r="I116" s="1">
        <v>69</v>
      </c>
      <c r="J116" s="4" t="s">
        <v>26</v>
      </c>
      <c r="L116" t="str">
        <f t="shared" si="1"/>
        <v/>
      </c>
    </row>
    <row r="117" spans="1:12" x14ac:dyDescent="0.35">
      <c r="A117" s="3" t="s">
        <v>252</v>
      </c>
      <c r="B117" s="1" t="s">
        <v>233</v>
      </c>
      <c r="C117" s="1" t="s">
        <v>125</v>
      </c>
      <c r="D117" s="1" t="s">
        <v>30</v>
      </c>
      <c r="E117" s="1" t="s">
        <v>51</v>
      </c>
      <c r="F117" s="1" t="s">
        <v>117</v>
      </c>
      <c r="G117" s="2">
        <v>46089</v>
      </c>
      <c r="H117" s="2">
        <v>46089</v>
      </c>
      <c r="I117" s="1">
        <v>69</v>
      </c>
      <c r="J117" s="4" t="s">
        <v>26</v>
      </c>
      <c r="L117" t="str">
        <f t="shared" si="1"/>
        <v/>
      </c>
    </row>
    <row r="118" spans="1:12" x14ac:dyDescent="0.35">
      <c r="A118" s="3" t="s">
        <v>253</v>
      </c>
      <c r="B118" s="1" t="s">
        <v>110</v>
      </c>
      <c r="C118" s="1" t="s">
        <v>45</v>
      </c>
      <c r="D118" s="1" t="s">
        <v>68</v>
      </c>
      <c r="E118" s="1" t="s">
        <v>51</v>
      </c>
      <c r="F118" s="1" t="s">
        <v>23</v>
      </c>
      <c r="G118" s="2">
        <v>46095</v>
      </c>
      <c r="H118" s="2">
        <v>46096</v>
      </c>
      <c r="I118" s="1">
        <v>32</v>
      </c>
      <c r="J118" s="4" t="s">
        <v>26</v>
      </c>
      <c r="L118" t="str">
        <f t="shared" si="1"/>
        <v/>
      </c>
    </row>
    <row r="119" spans="1:12" x14ac:dyDescent="0.35">
      <c r="A119" s="3" t="s">
        <v>254</v>
      </c>
      <c r="B119" s="1" t="s">
        <v>156</v>
      </c>
      <c r="C119" s="1" t="s">
        <v>50</v>
      </c>
      <c r="D119" s="1" t="s">
        <v>30</v>
      </c>
      <c r="E119" s="1" t="s">
        <v>51</v>
      </c>
      <c r="F119" s="1" t="s">
        <v>69</v>
      </c>
      <c r="G119" s="2">
        <v>46093</v>
      </c>
      <c r="H119" s="2">
        <v>46095</v>
      </c>
      <c r="I119" s="1">
        <v>27</v>
      </c>
      <c r="J119" s="4" t="s">
        <v>39</v>
      </c>
      <c r="L119" t="str">
        <f t="shared" si="1"/>
        <v/>
      </c>
    </row>
    <row r="120" spans="1:12" x14ac:dyDescent="0.35">
      <c r="A120" s="3" t="s">
        <v>255</v>
      </c>
      <c r="B120" s="1" t="s">
        <v>220</v>
      </c>
      <c r="C120" s="1" t="s">
        <v>103</v>
      </c>
      <c r="D120" s="1" t="s">
        <v>30</v>
      </c>
      <c r="E120" s="1" t="s">
        <v>14</v>
      </c>
      <c r="F120" s="1" t="s">
        <v>117</v>
      </c>
      <c r="G120" s="2">
        <v>46086</v>
      </c>
      <c r="H120" s="2">
        <v>46088</v>
      </c>
      <c r="I120" s="1">
        <v>11</v>
      </c>
      <c r="J120" s="4" t="s">
        <v>26</v>
      </c>
      <c r="L120" t="str">
        <f t="shared" si="1"/>
        <v/>
      </c>
    </row>
    <row r="121" spans="1:12" x14ac:dyDescent="0.35">
      <c r="A121" s="3" t="s">
        <v>256</v>
      </c>
      <c r="B121" s="1" t="s">
        <v>233</v>
      </c>
      <c r="C121" s="1" t="s">
        <v>190</v>
      </c>
      <c r="D121" s="1" t="s">
        <v>30</v>
      </c>
      <c r="E121" s="1" t="s">
        <v>51</v>
      </c>
      <c r="F121" s="1" t="s">
        <v>56</v>
      </c>
      <c r="G121" s="2">
        <v>46092</v>
      </c>
      <c r="H121" s="2">
        <v>46094</v>
      </c>
      <c r="I121" s="1">
        <v>23</v>
      </c>
      <c r="J121" s="4" t="s">
        <v>39</v>
      </c>
      <c r="L121" t="str">
        <f t="shared" si="1"/>
        <v/>
      </c>
    </row>
    <row r="122" spans="1:12" x14ac:dyDescent="0.35">
      <c r="A122" s="3" t="s">
        <v>257</v>
      </c>
      <c r="B122" s="1" t="s">
        <v>258</v>
      </c>
      <c r="C122" s="1" t="s">
        <v>273</v>
      </c>
      <c r="D122" s="1" t="s">
        <v>30</v>
      </c>
      <c r="E122" s="1" t="s">
        <v>14</v>
      </c>
      <c r="F122" s="1" t="s">
        <v>117</v>
      </c>
      <c r="G122" s="2">
        <v>46086</v>
      </c>
      <c r="H122" s="2">
        <v>46087</v>
      </c>
      <c r="I122" s="1"/>
      <c r="J122" s="4" t="s">
        <v>39</v>
      </c>
      <c r="L122" t="str">
        <f t="shared" si="1"/>
        <v/>
      </c>
    </row>
    <row r="123" spans="1:12" x14ac:dyDescent="0.35">
      <c r="A123" s="3" t="s">
        <v>259</v>
      </c>
      <c r="B123" s="1" t="s">
        <v>260</v>
      </c>
      <c r="C123" s="1" t="s">
        <v>50</v>
      </c>
      <c r="D123" s="1" t="s">
        <v>274</v>
      </c>
      <c r="E123" s="1" t="s">
        <v>31</v>
      </c>
      <c r="F123" s="1" t="s">
        <v>56</v>
      </c>
      <c r="G123" s="2">
        <v>46085</v>
      </c>
      <c r="H123" s="2">
        <v>46086</v>
      </c>
      <c r="I123" s="1">
        <v>12</v>
      </c>
      <c r="J123" s="4" t="s">
        <v>92</v>
      </c>
      <c r="L123" t="str">
        <f t="shared" si="1"/>
        <v/>
      </c>
    </row>
    <row r="124" spans="1:12" x14ac:dyDescent="0.35">
      <c r="L124" t="str">
        <f t="shared" si="1"/>
        <v/>
      </c>
    </row>
    <row r="125" spans="1:12" x14ac:dyDescent="0.35">
      <c r="L125" t="str">
        <f t="shared" si="1"/>
        <v/>
      </c>
    </row>
    <row r="126" spans="1:12" x14ac:dyDescent="0.35">
      <c r="L126" t="str">
        <f t="shared" si="1"/>
        <v/>
      </c>
    </row>
    <row r="127" spans="1:12" x14ac:dyDescent="0.35">
      <c r="L127" t="str">
        <f t="shared" si="1"/>
        <v/>
      </c>
    </row>
    <row r="128" spans="1:12" x14ac:dyDescent="0.35">
      <c r="L128" t="str">
        <f t="shared" si="1"/>
        <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2C561-4461-458B-9323-F58ECA18D524}">
  <dimension ref="A2:M142"/>
  <sheetViews>
    <sheetView topLeftCell="B1" workbookViewId="0">
      <selection activeCell="F55" sqref="F55"/>
    </sheetView>
  </sheetViews>
  <sheetFormatPr defaultRowHeight="14.5" x14ac:dyDescent="0.35"/>
  <cols>
    <col min="1" max="1" width="12.36328125" bestFit="1" customWidth="1"/>
    <col min="2" max="2" width="18" bestFit="1" customWidth="1"/>
    <col min="3" max="4" width="12.36328125" bestFit="1" customWidth="1"/>
    <col min="5" max="5" width="16.453125" bestFit="1" customWidth="1"/>
    <col min="6" max="6" width="19.7265625" bestFit="1" customWidth="1"/>
    <col min="7" max="7" width="12.36328125" bestFit="1" customWidth="1"/>
    <col min="8" max="8" width="14.08984375" bestFit="1" customWidth="1"/>
    <col min="12" max="12" width="17.90625" bestFit="1" customWidth="1"/>
    <col min="13" max="13" width="16.453125" bestFit="1" customWidth="1"/>
  </cols>
  <sheetData>
    <row r="2" spans="1:13" x14ac:dyDescent="0.35">
      <c r="A2" t="s">
        <v>263</v>
      </c>
      <c r="B2" t="s">
        <v>269</v>
      </c>
      <c r="C2" t="s">
        <v>265</v>
      </c>
      <c r="F2" t="s">
        <v>272</v>
      </c>
    </row>
    <row r="3" spans="1:13" x14ac:dyDescent="0.35">
      <c r="A3">
        <v>122</v>
      </c>
      <c r="B3">
        <v>41</v>
      </c>
      <c r="C3" s="8">
        <v>33.684684684684683</v>
      </c>
      <c r="F3">
        <v>3</v>
      </c>
    </row>
    <row r="5" spans="1:13" x14ac:dyDescent="0.35">
      <c r="A5" s="12" t="s">
        <v>266</v>
      </c>
      <c r="B5" s="1" t="s">
        <v>264</v>
      </c>
      <c r="C5" s="15" t="s">
        <v>266</v>
      </c>
      <c r="D5" s="1" t="s">
        <v>270</v>
      </c>
    </row>
    <row r="6" spans="1:13" x14ac:dyDescent="0.35">
      <c r="A6" s="13" t="s">
        <v>99</v>
      </c>
      <c r="B6" s="1">
        <v>155</v>
      </c>
      <c r="C6" s="16" t="s">
        <v>31</v>
      </c>
      <c r="D6" s="1">
        <v>46</v>
      </c>
    </row>
    <row r="7" spans="1:13" x14ac:dyDescent="0.35">
      <c r="A7" s="13" t="s">
        <v>50</v>
      </c>
      <c r="B7" s="1">
        <v>1049</v>
      </c>
      <c r="C7" s="16" t="s">
        <v>51</v>
      </c>
      <c r="D7" s="1">
        <v>39</v>
      </c>
      <c r="L7" s="9" t="s">
        <v>266</v>
      </c>
      <c r="M7" t="s">
        <v>263</v>
      </c>
    </row>
    <row r="8" spans="1:13" x14ac:dyDescent="0.35">
      <c r="A8" s="13" t="s">
        <v>125</v>
      </c>
      <c r="B8" s="1">
        <v>566</v>
      </c>
      <c r="C8" s="16" t="s">
        <v>14</v>
      </c>
      <c r="D8" s="1">
        <v>37</v>
      </c>
      <c r="L8" s="10" t="s">
        <v>145</v>
      </c>
      <c r="M8">
        <v>2</v>
      </c>
    </row>
    <row r="9" spans="1:13" x14ac:dyDescent="0.35">
      <c r="A9" s="13" t="s">
        <v>103</v>
      </c>
      <c r="B9" s="1">
        <v>356</v>
      </c>
      <c r="C9" s="16" t="s">
        <v>267</v>
      </c>
      <c r="D9" s="1">
        <v>122</v>
      </c>
      <c r="L9" s="11" t="s">
        <v>12</v>
      </c>
      <c r="M9">
        <v>1</v>
      </c>
    </row>
    <row r="10" spans="1:13" x14ac:dyDescent="0.35">
      <c r="A10" s="13" t="s">
        <v>12</v>
      </c>
      <c r="B10" s="1">
        <v>424</v>
      </c>
      <c r="L10" s="11" t="s">
        <v>190</v>
      </c>
      <c r="M10">
        <v>1</v>
      </c>
    </row>
    <row r="11" spans="1:13" x14ac:dyDescent="0.35">
      <c r="A11" s="13" t="s">
        <v>45</v>
      </c>
      <c r="B11" s="1">
        <v>415</v>
      </c>
      <c r="L11" s="10" t="s">
        <v>55</v>
      </c>
      <c r="M11">
        <v>3</v>
      </c>
    </row>
    <row r="12" spans="1:13" x14ac:dyDescent="0.35">
      <c r="A12" s="13" t="s">
        <v>190</v>
      </c>
      <c r="B12" s="1">
        <v>774</v>
      </c>
      <c r="C12" s="12" t="s">
        <v>266</v>
      </c>
      <c r="D12" s="1" t="s">
        <v>263</v>
      </c>
      <c r="L12" s="11" t="s">
        <v>12</v>
      </c>
      <c r="M12">
        <v>1</v>
      </c>
    </row>
    <row r="13" spans="1:13" x14ac:dyDescent="0.35">
      <c r="A13" s="13" t="s">
        <v>267</v>
      </c>
      <c r="B13" s="1">
        <v>3739</v>
      </c>
      <c r="C13" s="13" t="s">
        <v>56</v>
      </c>
      <c r="D13" s="1">
        <v>24</v>
      </c>
      <c r="L13" s="11" t="s">
        <v>190</v>
      </c>
      <c r="M13">
        <v>2</v>
      </c>
    </row>
    <row r="14" spans="1:13" x14ac:dyDescent="0.35">
      <c r="C14" s="13" t="s">
        <v>63</v>
      </c>
      <c r="D14" s="1">
        <v>17</v>
      </c>
      <c r="L14" s="10" t="s">
        <v>160</v>
      </c>
      <c r="M14">
        <v>5</v>
      </c>
    </row>
    <row r="15" spans="1:13" x14ac:dyDescent="0.35">
      <c r="C15" s="13" t="s">
        <v>23</v>
      </c>
      <c r="D15" s="1">
        <v>22</v>
      </c>
      <c r="F15" t="s">
        <v>271</v>
      </c>
      <c r="L15" s="11" t="s">
        <v>50</v>
      </c>
      <c r="M15">
        <v>2</v>
      </c>
    </row>
    <row r="16" spans="1:13" x14ac:dyDescent="0.35">
      <c r="C16" s="13" t="s">
        <v>15</v>
      </c>
      <c r="D16" s="1">
        <v>25</v>
      </c>
      <c r="F16">
        <v>122</v>
      </c>
      <c r="L16" s="11" t="s">
        <v>125</v>
      </c>
      <c r="M16">
        <v>2</v>
      </c>
    </row>
    <row r="17" spans="1:13" x14ac:dyDescent="0.35">
      <c r="C17" s="13" t="s">
        <v>69</v>
      </c>
      <c r="D17" s="1">
        <v>16</v>
      </c>
      <c r="L17" s="11" t="s">
        <v>103</v>
      </c>
      <c r="M17">
        <v>1</v>
      </c>
    </row>
    <row r="18" spans="1:13" x14ac:dyDescent="0.35">
      <c r="C18" s="13" t="s">
        <v>117</v>
      </c>
      <c r="D18" s="1">
        <v>18</v>
      </c>
      <c r="L18" s="10" t="s">
        <v>188</v>
      </c>
      <c r="M18">
        <v>2</v>
      </c>
    </row>
    <row r="19" spans="1:13" x14ac:dyDescent="0.35">
      <c r="C19" s="13" t="s">
        <v>267</v>
      </c>
      <c r="D19" s="1">
        <v>122</v>
      </c>
      <c r="L19" s="11" t="s">
        <v>125</v>
      </c>
      <c r="M19">
        <v>1</v>
      </c>
    </row>
    <row r="20" spans="1:13" x14ac:dyDescent="0.35">
      <c r="L20" s="11" t="s">
        <v>45</v>
      </c>
      <c r="M20">
        <v>1</v>
      </c>
    </row>
    <row r="21" spans="1:13" x14ac:dyDescent="0.35">
      <c r="A21" s="12" t="s">
        <v>266</v>
      </c>
      <c r="B21" s="1" t="s">
        <v>270</v>
      </c>
      <c r="L21" s="10" t="s">
        <v>86</v>
      </c>
      <c r="M21">
        <v>3</v>
      </c>
    </row>
    <row r="22" spans="1:13" x14ac:dyDescent="0.35">
      <c r="A22" s="13" t="s">
        <v>62</v>
      </c>
      <c r="B22" s="1">
        <v>24</v>
      </c>
      <c r="D22" s="12" t="s">
        <v>266</v>
      </c>
      <c r="E22" s="1" t="s">
        <v>263</v>
      </c>
      <c r="L22" s="11" t="s">
        <v>50</v>
      </c>
      <c r="M22">
        <v>1</v>
      </c>
    </row>
    <row r="23" spans="1:13" x14ac:dyDescent="0.35">
      <c r="A23" s="13" t="s">
        <v>30</v>
      </c>
      <c r="B23" s="1">
        <v>32</v>
      </c>
      <c r="D23" s="13" t="s">
        <v>99</v>
      </c>
      <c r="E23" s="1">
        <v>3</v>
      </c>
      <c r="L23" s="11" t="s">
        <v>190</v>
      </c>
      <c r="M23">
        <v>2</v>
      </c>
    </row>
    <row r="24" spans="1:13" x14ac:dyDescent="0.35">
      <c r="A24" s="13" t="s">
        <v>68</v>
      </c>
      <c r="B24" s="1">
        <v>33</v>
      </c>
      <c r="D24" s="13" t="s">
        <v>50</v>
      </c>
      <c r="E24" s="1">
        <v>34</v>
      </c>
      <c r="G24" s="12" t="s">
        <v>266</v>
      </c>
      <c r="H24" s="1" t="s">
        <v>264</v>
      </c>
      <c r="L24" s="10" t="s">
        <v>149</v>
      </c>
      <c r="M24">
        <v>1</v>
      </c>
    </row>
    <row r="25" spans="1:13" x14ac:dyDescent="0.35">
      <c r="A25" s="13" t="s">
        <v>22</v>
      </c>
      <c r="B25" s="1">
        <v>32</v>
      </c>
      <c r="D25" s="13" t="s">
        <v>125</v>
      </c>
      <c r="E25" s="1">
        <v>23</v>
      </c>
      <c r="G25" s="13" t="s">
        <v>62</v>
      </c>
      <c r="H25" s="1">
        <v>635</v>
      </c>
      <c r="L25" s="11" t="s">
        <v>45</v>
      </c>
      <c r="M25">
        <v>1</v>
      </c>
    </row>
    <row r="26" spans="1:13" x14ac:dyDescent="0.35">
      <c r="A26" s="13" t="s">
        <v>267</v>
      </c>
      <c r="B26" s="1">
        <v>121</v>
      </c>
      <c r="D26" s="13" t="s">
        <v>103</v>
      </c>
      <c r="E26" s="1">
        <v>11</v>
      </c>
      <c r="G26" s="13" t="s">
        <v>30</v>
      </c>
      <c r="H26" s="1">
        <v>989</v>
      </c>
      <c r="L26" s="10" t="s">
        <v>113</v>
      </c>
      <c r="M26">
        <v>7</v>
      </c>
    </row>
    <row r="27" spans="1:13" x14ac:dyDescent="0.35">
      <c r="D27" s="13" t="s">
        <v>12</v>
      </c>
      <c r="E27" s="1">
        <v>12</v>
      </c>
      <c r="G27" s="13" t="s">
        <v>68</v>
      </c>
      <c r="H27" s="1">
        <v>1155</v>
      </c>
      <c r="L27" s="11" t="s">
        <v>50</v>
      </c>
      <c r="M27">
        <v>1</v>
      </c>
    </row>
    <row r="28" spans="1:13" x14ac:dyDescent="0.35">
      <c r="D28" s="13" t="s">
        <v>45</v>
      </c>
      <c r="E28" s="1">
        <v>14</v>
      </c>
      <c r="G28" s="13" t="s">
        <v>22</v>
      </c>
      <c r="H28" s="1">
        <v>948</v>
      </c>
      <c r="L28" s="11" t="s">
        <v>125</v>
      </c>
      <c r="M28">
        <v>2</v>
      </c>
    </row>
    <row r="29" spans="1:13" x14ac:dyDescent="0.35">
      <c r="D29" s="13" t="s">
        <v>190</v>
      </c>
      <c r="E29" s="1">
        <v>24</v>
      </c>
      <c r="G29" s="13" t="s">
        <v>262</v>
      </c>
      <c r="H29" s="1">
        <v>12</v>
      </c>
      <c r="L29" s="11" t="s">
        <v>12</v>
      </c>
      <c r="M29">
        <v>2</v>
      </c>
    </row>
    <row r="30" spans="1:13" x14ac:dyDescent="0.35">
      <c r="D30" s="13" t="s">
        <v>267</v>
      </c>
      <c r="E30" s="1">
        <v>121</v>
      </c>
      <c r="G30" s="13" t="s">
        <v>267</v>
      </c>
      <c r="H30" s="1">
        <v>3739</v>
      </c>
      <c r="L30" s="11" t="s">
        <v>45</v>
      </c>
      <c r="M30">
        <v>1</v>
      </c>
    </row>
    <row r="31" spans="1:13" x14ac:dyDescent="0.35">
      <c r="L31" s="11" t="s">
        <v>190</v>
      </c>
      <c r="M31">
        <v>1</v>
      </c>
    </row>
    <row r="32" spans="1:13" x14ac:dyDescent="0.35">
      <c r="L32" s="10" t="s">
        <v>206</v>
      </c>
      <c r="M32">
        <v>2</v>
      </c>
    </row>
    <row r="33" spans="4:13" x14ac:dyDescent="0.35">
      <c r="L33" s="11" t="s">
        <v>45</v>
      </c>
      <c r="M33">
        <v>1</v>
      </c>
    </row>
    <row r="34" spans="4:13" x14ac:dyDescent="0.35">
      <c r="L34" s="11" t="s">
        <v>190</v>
      </c>
      <c r="M34">
        <v>1</v>
      </c>
    </row>
    <row r="35" spans="4:13" x14ac:dyDescent="0.35">
      <c r="L35" s="10" t="s">
        <v>156</v>
      </c>
      <c r="M35">
        <v>3</v>
      </c>
    </row>
    <row r="36" spans="4:13" x14ac:dyDescent="0.35">
      <c r="L36" s="11" t="s">
        <v>50</v>
      </c>
      <c r="M36">
        <v>2</v>
      </c>
    </row>
    <row r="37" spans="4:13" x14ac:dyDescent="0.35">
      <c r="L37" s="11" t="s">
        <v>45</v>
      </c>
      <c r="M37">
        <v>1</v>
      </c>
    </row>
    <row r="38" spans="4:13" x14ac:dyDescent="0.35">
      <c r="L38" s="10" t="s">
        <v>212</v>
      </c>
      <c r="M38">
        <v>2</v>
      </c>
    </row>
    <row r="39" spans="4:13" x14ac:dyDescent="0.35">
      <c r="L39" s="11" t="s">
        <v>45</v>
      </c>
      <c r="M39">
        <v>1</v>
      </c>
    </row>
    <row r="40" spans="4:13" x14ac:dyDescent="0.35">
      <c r="L40" s="11" t="s">
        <v>190</v>
      </c>
      <c r="M40">
        <v>1</v>
      </c>
    </row>
    <row r="41" spans="4:13" x14ac:dyDescent="0.35">
      <c r="L41" s="10" t="s">
        <v>20</v>
      </c>
      <c r="M41">
        <v>2</v>
      </c>
    </row>
    <row r="42" spans="4:13" x14ac:dyDescent="0.35">
      <c r="L42" s="11" t="s">
        <v>50</v>
      </c>
      <c r="M42">
        <v>1</v>
      </c>
    </row>
    <row r="43" spans="4:13" x14ac:dyDescent="0.35">
      <c r="L43" s="11" t="s">
        <v>190</v>
      </c>
      <c r="M43">
        <v>1</v>
      </c>
    </row>
    <row r="44" spans="4:13" x14ac:dyDescent="0.35">
      <c r="L44" s="10" t="s">
        <v>162</v>
      </c>
      <c r="M44">
        <v>3</v>
      </c>
    </row>
    <row r="45" spans="4:13" x14ac:dyDescent="0.35">
      <c r="D45" s="9" t="s">
        <v>266</v>
      </c>
      <c r="E45" t="s">
        <v>263</v>
      </c>
      <c r="L45" s="11" t="s">
        <v>50</v>
      </c>
      <c r="M45">
        <v>1</v>
      </c>
    </row>
    <row r="46" spans="4:13" x14ac:dyDescent="0.35">
      <c r="D46" s="10" t="s">
        <v>92</v>
      </c>
      <c r="E46">
        <v>22</v>
      </c>
      <c r="L46" s="11" t="s">
        <v>125</v>
      </c>
      <c r="M46">
        <v>1</v>
      </c>
    </row>
    <row r="47" spans="4:13" x14ac:dyDescent="0.35">
      <c r="D47" s="10" t="s">
        <v>39</v>
      </c>
      <c r="E47">
        <v>34</v>
      </c>
      <c r="L47" s="11" t="s">
        <v>103</v>
      </c>
      <c r="M47">
        <v>1</v>
      </c>
    </row>
    <row r="48" spans="4:13" x14ac:dyDescent="0.35">
      <c r="D48" s="10" t="s">
        <v>26</v>
      </c>
      <c r="E48">
        <v>66</v>
      </c>
      <c r="L48" s="10" t="s">
        <v>66</v>
      </c>
      <c r="M48">
        <v>3</v>
      </c>
    </row>
    <row r="49" spans="4:13" x14ac:dyDescent="0.35">
      <c r="D49" s="10" t="s">
        <v>267</v>
      </c>
      <c r="E49">
        <v>122</v>
      </c>
      <c r="L49" s="11" t="s">
        <v>125</v>
      </c>
      <c r="M49">
        <v>1</v>
      </c>
    </row>
    <row r="50" spans="4:13" x14ac:dyDescent="0.35">
      <c r="L50" s="11" t="s">
        <v>103</v>
      </c>
      <c r="M50">
        <v>1</v>
      </c>
    </row>
    <row r="51" spans="4:13" x14ac:dyDescent="0.35">
      <c r="L51" s="11" t="s">
        <v>190</v>
      </c>
      <c r="M51">
        <v>1</v>
      </c>
    </row>
    <row r="52" spans="4:13" x14ac:dyDescent="0.35">
      <c r="L52" s="10" t="s">
        <v>44</v>
      </c>
      <c r="M52">
        <v>2</v>
      </c>
    </row>
    <row r="53" spans="4:13" x14ac:dyDescent="0.35">
      <c r="L53" s="11" t="s">
        <v>12</v>
      </c>
      <c r="M53">
        <v>1</v>
      </c>
    </row>
    <row r="54" spans="4:13" x14ac:dyDescent="0.35">
      <c r="L54" s="11" t="s">
        <v>45</v>
      </c>
      <c r="M54">
        <v>1</v>
      </c>
    </row>
    <row r="55" spans="4:13" x14ac:dyDescent="0.35">
      <c r="F55" t="s">
        <v>268</v>
      </c>
      <c r="L55" s="10" t="s">
        <v>164</v>
      </c>
      <c r="M55">
        <v>1</v>
      </c>
    </row>
    <row r="56" spans="4:13" x14ac:dyDescent="0.35">
      <c r="F56">
        <v>122</v>
      </c>
      <c r="L56" s="11" t="s">
        <v>50</v>
      </c>
      <c r="M56">
        <v>1</v>
      </c>
    </row>
    <row r="57" spans="4:13" x14ac:dyDescent="0.35">
      <c r="L57" s="10" t="s">
        <v>173</v>
      </c>
      <c r="M57">
        <v>3</v>
      </c>
    </row>
    <row r="58" spans="4:13" x14ac:dyDescent="0.35">
      <c r="L58" s="11" t="s">
        <v>125</v>
      </c>
      <c r="M58">
        <v>3</v>
      </c>
    </row>
    <row r="59" spans="4:13" x14ac:dyDescent="0.35">
      <c r="L59" s="10" t="s">
        <v>107</v>
      </c>
      <c r="M59">
        <v>3</v>
      </c>
    </row>
    <row r="60" spans="4:13" x14ac:dyDescent="0.35">
      <c r="L60" s="11" t="s">
        <v>50</v>
      </c>
      <c r="M60">
        <v>1</v>
      </c>
    </row>
    <row r="61" spans="4:13" x14ac:dyDescent="0.35">
      <c r="L61" s="11" t="s">
        <v>103</v>
      </c>
      <c r="M61">
        <v>2</v>
      </c>
    </row>
    <row r="62" spans="4:13" x14ac:dyDescent="0.35">
      <c r="L62" s="10" t="s">
        <v>75</v>
      </c>
      <c r="M62">
        <v>5</v>
      </c>
    </row>
    <row r="63" spans="4:13" x14ac:dyDescent="0.35">
      <c r="L63" s="11" t="s">
        <v>99</v>
      </c>
      <c r="M63">
        <v>1</v>
      </c>
    </row>
    <row r="64" spans="4:13" x14ac:dyDescent="0.35">
      <c r="L64" s="11" t="s">
        <v>50</v>
      </c>
      <c r="M64">
        <v>1</v>
      </c>
    </row>
    <row r="65" spans="12:13" x14ac:dyDescent="0.35">
      <c r="L65" s="11" t="s">
        <v>125</v>
      </c>
      <c r="M65">
        <v>1</v>
      </c>
    </row>
    <row r="66" spans="12:13" x14ac:dyDescent="0.35">
      <c r="L66" s="11" t="s">
        <v>103</v>
      </c>
      <c r="M66">
        <v>1</v>
      </c>
    </row>
    <row r="67" spans="12:13" x14ac:dyDescent="0.35">
      <c r="L67" s="11" t="s">
        <v>190</v>
      </c>
      <c r="M67">
        <v>1</v>
      </c>
    </row>
    <row r="68" spans="12:13" x14ac:dyDescent="0.35">
      <c r="L68" s="10" t="s">
        <v>182</v>
      </c>
      <c r="M68">
        <v>1</v>
      </c>
    </row>
    <row r="69" spans="12:13" x14ac:dyDescent="0.35">
      <c r="L69" s="11" t="s">
        <v>45</v>
      </c>
      <c r="M69">
        <v>1</v>
      </c>
    </row>
    <row r="70" spans="12:13" x14ac:dyDescent="0.35">
      <c r="L70" s="10" t="s">
        <v>220</v>
      </c>
      <c r="M70">
        <v>2</v>
      </c>
    </row>
    <row r="71" spans="12:13" x14ac:dyDescent="0.35">
      <c r="L71" s="11" t="s">
        <v>125</v>
      </c>
      <c r="M71">
        <v>1</v>
      </c>
    </row>
    <row r="72" spans="12:13" x14ac:dyDescent="0.35">
      <c r="L72" s="11" t="s">
        <v>103</v>
      </c>
      <c r="M72">
        <v>1</v>
      </c>
    </row>
    <row r="73" spans="12:13" x14ac:dyDescent="0.35">
      <c r="L73" s="10" t="s">
        <v>202</v>
      </c>
      <c r="M73">
        <v>2</v>
      </c>
    </row>
    <row r="74" spans="12:13" x14ac:dyDescent="0.35">
      <c r="L74" s="11" t="s">
        <v>50</v>
      </c>
      <c r="M74">
        <v>2</v>
      </c>
    </row>
    <row r="75" spans="12:13" x14ac:dyDescent="0.35">
      <c r="L75" s="10" t="s">
        <v>28</v>
      </c>
      <c r="M75">
        <v>4</v>
      </c>
    </row>
    <row r="76" spans="12:13" x14ac:dyDescent="0.35">
      <c r="L76" s="11" t="s">
        <v>125</v>
      </c>
      <c r="M76">
        <v>3</v>
      </c>
    </row>
    <row r="77" spans="12:13" x14ac:dyDescent="0.35">
      <c r="L77" s="11" t="s">
        <v>190</v>
      </c>
      <c r="M77">
        <v>1</v>
      </c>
    </row>
    <row r="78" spans="12:13" x14ac:dyDescent="0.35">
      <c r="L78" s="10" t="s">
        <v>89</v>
      </c>
      <c r="M78">
        <v>8</v>
      </c>
    </row>
    <row r="79" spans="12:13" x14ac:dyDescent="0.35">
      <c r="L79" s="11" t="s">
        <v>50</v>
      </c>
      <c r="M79">
        <v>2</v>
      </c>
    </row>
    <row r="80" spans="12:13" x14ac:dyDescent="0.35">
      <c r="L80" s="11" t="s">
        <v>125</v>
      </c>
      <c r="M80">
        <v>2</v>
      </c>
    </row>
    <row r="81" spans="12:13" x14ac:dyDescent="0.35">
      <c r="L81" s="11" t="s">
        <v>103</v>
      </c>
      <c r="M81">
        <v>1</v>
      </c>
    </row>
    <row r="82" spans="12:13" x14ac:dyDescent="0.35">
      <c r="L82" s="11" t="s">
        <v>12</v>
      </c>
      <c r="M82">
        <v>1</v>
      </c>
    </row>
    <row r="83" spans="12:13" x14ac:dyDescent="0.35">
      <c r="L83" s="11" t="s">
        <v>190</v>
      </c>
      <c r="M83">
        <v>2</v>
      </c>
    </row>
    <row r="84" spans="12:13" x14ac:dyDescent="0.35">
      <c r="L84" s="10" t="s">
        <v>60</v>
      </c>
      <c r="M84">
        <v>5</v>
      </c>
    </row>
    <row r="85" spans="12:13" x14ac:dyDescent="0.35">
      <c r="L85" s="11" t="s">
        <v>50</v>
      </c>
      <c r="M85">
        <v>2</v>
      </c>
    </row>
    <row r="86" spans="12:13" x14ac:dyDescent="0.35">
      <c r="L86" s="11" t="s">
        <v>125</v>
      </c>
      <c r="M86">
        <v>2</v>
      </c>
    </row>
    <row r="87" spans="12:13" x14ac:dyDescent="0.35">
      <c r="L87" s="11" t="s">
        <v>12</v>
      </c>
      <c r="M87">
        <v>1</v>
      </c>
    </row>
    <row r="88" spans="12:13" x14ac:dyDescent="0.35">
      <c r="L88" s="10" t="s">
        <v>98</v>
      </c>
      <c r="M88">
        <v>1</v>
      </c>
    </row>
    <row r="89" spans="12:13" x14ac:dyDescent="0.35">
      <c r="L89" s="11" t="s">
        <v>99</v>
      </c>
      <c r="M89">
        <v>1</v>
      </c>
    </row>
    <row r="90" spans="12:13" x14ac:dyDescent="0.35">
      <c r="L90" s="10" t="s">
        <v>158</v>
      </c>
      <c r="M90">
        <v>3</v>
      </c>
    </row>
    <row r="91" spans="12:13" x14ac:dyDescent="0.35">
      <c r="L91" s="11" t="s">
        <v>50</v>
      </c>
      <c r="M91">
        <v>2</v>
      </c>
    </row>
    <row r="92" spans="12:13" x14ac:dyDescent="0.35">
      <c r="L92" s="11" t="s">
        <v>190</v>
      </c>
      <c r="M92">
        <v>1</v>
      </c>
    </row>
    <row r="93" spans="12:13" x14ac:dyDescent="0.35">
      <c r="L93" s="10" t="s">
        <v>11</v>
      </c>
      <c r="M93">
        <v>1</v>
      </c>
    </row>
    <row r="94" spans="12:13" x14ac:dyDescent="0.35">
      <c r="L94" s="11" t="s">
        <v>12</v>
      </c>
      <c r="M94">
        <v>1</v>
      </c>
    </row>
    <row r="95" spans="12:13" x14ac:dyDescent="0.35">
      <c r="L95" s="10" t="s">
        <v>229</v>
      </c>
      <c r="M95">
        <v>1</v>
      </c>
    </row>
    <row r="96" spans="12:13" x14ac:dyDescent="0.35">
      <c r="L96" s="11" t="s">
        <v>12</v>
      </c>
      <c r="M96">
        <v>1</v>
      </c>
    </row>
    <row r="97" spans="12:13" x14ac:dyDescent="0.35">
      <c r="L97" s="10" t="s">
        <v>233</v>
      </c>
      <c r="M97">
        <v>4</v>
      </c>
    </row>
    <row r="98" spans="12:13" x14ac:dyDescent="0.35">
      <c r="L98" s="11" t="s">
        <v>50</v>
      </c>
      <c r="M98">
        <v>1</v>
      </c>
    </row>
    <row r="99" spans="12:13" x14ac:dyDescent="0.35">
      <c r="L99" s="11" t="s">
        <v>125</v>
      </c>
      <c r="M99">
        <v>1</v>
      </c>
    </row>
    <row r="100" spans="12:13" x14ac:dyDescent="0.35">
      <c r="L100" s="11" t="s">
        <v>190</v>
      </c>
      <c r="M100">
        <v>2</v>
      </c>
    </row>
    <row r="101" spans="12:13" x14ac:dyDescent="0.35">
      <c r="L101" s="10" t="s">
        <v>72</v>
      </c>
      <c r="M101">
        <v>5</v>
      </c>
    </row>
    <row r="102" spans="12:13" x14ac:dyDescent="0.35">
      <c r="L102" s="11" t="s">
        <v>50</v>
      </c>
      <c r="M102">
        <v>1</v>
      </c>
    </row>
    <row r="103" spans="12:13" x14ac:dyDescent="0.35">
      <c r="L103" s="11" t="s">
        <v>125</v>
      </c>
      <c r="M103">
        <v>1</v>
      </c>
    </row>
    <row r="104" spans="12:13" x14ac:dyDescent="0.35">
      <c r="L104" s="11" t="s">
        <v>12</v>
      </c>
      <c r="M104">
        <v>1</v>
      </c>
    </row>
    <row r="105" spans="12:13" x14ac:dyDescent="0.35">
      <c r="L105" s="11" t="s">
        <v>190</v>
      </c>
      <c r="M105">
        <v>2</v>
      </c>
    </row>
    <row r="106" spans="12:13" x14ac:dyDescent="0.35">
      <c r="L106" s="10" t="s">
        <v>102</v>
      </c>
      <c r="M106">
        <v>2</v>
      </c>
    </row>
    <row r="107" spans="12:13" x14ac:dyDescent="0.35">
      <c r="L107" s="11" t="s">
        <v>103</v>
      </c>
      <c r="M107">
        <v>1</v>
      </c>
    </row>
    <row r="108" spans="12:13" x14ac:dyDescent="0.35">
      <c r="L108" s="11" t="s">
        <v>45</v>
      </c>
      <c r="M108">
        <v>1</v>
      </c>
    </row>
    <row r="109" spans="12:13" x14ac:dyDescent="0.35">
      <c r="L109" s="10" t="s">
        <v>249</v>
      </c>
      <c r="M109">
        <v>1</v>
      </c>
    </row>
    <row r="110" spans="12:13" x14ac:dyDescent="0.35">
      <c r="L110" s="11" t="s">
        <v>103</v>
      </c>
      <c r="M110">
        <v>1</v>
      </c>
    </row>
    <row r="111" spans="12:13" x14ac:dyDescent="0.35">
      <c r="L111" s="10" t="s">
        <v>35</v>
      </c>
      <c r="M111">
        <v>4</v>
      </c>
    </row>
    <row r="112" spans="12:13" x14ac:dyDescent="0.35">
      <c r="L112" s="11" t="s">
        <v>50</v>
      </c>
      <c r="M112">
        <v>2</v>
      </c>
    </row>
    <row r="113" spans="12:13" x14ac:dyDescent="0.35">
      <c r="L113" s="11" t="s">
        <v>12</v>
      </c>
      <c r="M113">
        <v>1</v>
      </c>
    </row>
    <row r="114" spans="12:13" x14ac:dyDescent="0.35">
      <c r="L114" s="11" t="s">
        <v>190</v>
      </c>
      <c r="M114">
        <v>1</v>
      </c>
    </row>
    <row r="115" spans="12:13" x14ac:dyDescent="0.35">
      <c r="L115" s="10" t="s">
        <v>116</v>
      </c>
      <c r="M115">
        <v>1</v>
      </c>
    </row>
    <row r="116" spans="12:13" x14ac:dyDescent="0.35">
      <c r="L116" s="11" t="s">
        <v>50</v>
      </c>
      <c r="M116">
        <v>1</v>
      </c>
    </row>
    <row r="117" spans="12:13" x14ac:dyDescent="0.35">
      <c r="L117" s="10" t="s">
        <v>80</v>
      </c>
      <c r="M117">
        <v>4</v>
      </c>
    </row>
    <row r="118" spans="12:13" x14ac:dyDescent="0.35">
      <c r="L118" s="11" t="s">
        <v>50</v>
      </c>
      <c r="M118">
        <v>2</v>
      </c>
    </row>
    <row r="119" spans="12:13" x14ac:dyDescent="0.35">
      <c r="L119" s="11" t="s">
        <v>45</v>
      </c>
      <c r="M119">
        <v>1</v>
      </c>
    </row>
    <row r="120" spans="12:13" x14ac:dyDescent="0.35">
      <c r="L120" s="11" t="s">
        <v>190</v>
      </c>
      <c r="M120">
        <v>1</v>
      </c>
    </row>
    <row r="121" spans="12:13" x14ac:dyDescent="0.35">
      <c r="L121" s="10" t="s">
        <v>120</v>
      </c>
      <c r="M121">
        <v>5</v>
      </c>
    </row>
    <row r="122" spans="12:13" x14ac:dyDescent="0.35">
      <c r="L122" s="11" t="s">
        <v>50</v>
      </c>
      <c r="M122">
        <v>2</v>
      </c>
    </row>
    <row r="123" spans="12:13" x14ac:dyDescent="0.35">
      <c r="L123" s="11" t="s">
        <v>125</v>
      </c>
      <c r="M123">
        <v>1</v>
      </c>
    </row>
    <row r="124" spans="12:13" x14ac:dyDescent="0.35">
      <c r="L124" s="11" t="s">
        <v>103</v>
      </c>
      <c r="M124">
        <v>1</v>
      </c>
    </row>
    <row r="125" spans="12:13" x14ac:dyDescent="0.35">
      <c r="L125" s="11" t="s">
        <v>45</v>
      </c>
      <c r="M125">
        <v>1</v>
      </c>
    </row>
    <row r="126" spans="12:13" x14ac:dyDescent="0.35">
      <c r="L126" s="10" t="s">
        <v>41</v>
      </c>
      <c r="M126">
        <v>5</v>
      </c>
    </row>
    <row r="127" spans="12:13" x14ac:dyDescent="0.35">
      <c r="L127" s="11" t="s">
        <v>50</v>
      </c>
      <c r="M127">
        <v>2</v>
      </c>
    </row>
    <row r="128" spans="12:13" x14ac:dyDescent="0.35">
      <c r="L128" s="11" t="s">
        <v>45</v>
      </c>
      <c r="M128">
        <v>1</v>
      </c>
    </row>
    <row r="129" spans="12:13" x14ac:dyDescent="0.35">
      <c r="L129" s="11" t="s">
        <v>190</v>
      </c>
      <c r="M129">
        <v>2</v>
      </c>
    </row>
    <row r="130" spans="12:13" x14ac:dyDescent="0.35">
      <c r="L130" s="10" t="s">
        <v>110</v>
      </c>
      <c r="M130">
        <v>7</v>
      </c>
    </row>
    <row r="131" spans="12:13" x14ac:dyDescent="0.35">
      <c r="L131" s="11" t="s">
        <v>99</v>
      </c>
      <c r="M131">
        <v>1</v>
      </c>
    </row>
    <row r="132" spans="12:13" x14ac:dyDescent="0.35">
      <c r="L132" s="11" t="s">
        <v>50</v>
      </c>
      <c r="M132">
        <v>3</v>
      </c>
    </row>
    <row r="133" spans="12:13" x14ac:dyDescent="0.35">
      <c r="L133" s="11" t="s">
        <v>12</v>
      </c>
      <c r="M133">
        <v>1</v>
      </c>
    </row>
    <row r="134" spans="12:13" x14ac:dyDescent="0.35">
      <c r="L134" s="11" t="s">
        <v>45</v>
      </c>
      <c r="M134">
        <v>2</v>
      </c>
    </row>
    <row r="135" spans="12:13" x14ac:dyDescent="0.35">
      <c r="L135" s="10" t="s">
        <v>151</v>
      </c>
      <c r="M135">
        <v>2</v>
      </c>
    </row>
    <row r="136" spans="12:13" x14ac:dyDescent="0.35">
      <c r="L136" s="11" t="s">
        <v>125</v>
      </c>
      <c r="M136">
        <v>1</v>
      </c>
    </row>
    <row r="137" spans="12:13" x14ac:dyDescent="0.35">
      <c r="L137" s="11" t="s">
        <v>190</v>
      </c>
      <c r="M137">
        <v>1</v>
      </c>
    </row>
    <row r="138" spans="12:13" x14ac:dyDescent="0.35">
      <c r="L138" s="10" t="s">
        <v>258</v>
      </c>
      <c r="M138">
        <v>1</v>
      </c>
    </row>
    <row r="139" spans="12:13" x14ac:dyDescent="0.35">
      <c r="L139" s="11" t="s">
        <v>262</v>
      </c>
      <c r="M139">
        <v>1</v>
      </c>
    </row>
    <row r="140" spans="12:13" x14ac:dyDescent="0.35">
      <c r="L140" s="10" t="s">
        <v>260</v>
      </c>
      <c r="M140">
        <v>1</v>
      </c>
    </row>
    <row r="141" spans="12:13" x14ac:dyDescent="0.35">
      <c r="L141" s="11" t="s">
        <v>50</v>
      </c>
      <c r="M141">
        <v>1</v>
      </c>
    </row>
    <row r="142" spans="12:13" x14ac:dyDescent="0.35">
      <c r="L142" s="10" t="s">
        <v>267</v>
      </c>
      <c r="M142">
        <v>122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A51A0-5C5D-4205-8BBD-8C4EB2F9DF16}">
  <dimension ref="A7:R15"/>
  <sheetViews>
    <sheetView showGridLines="0" tabSelected="1" zoomScaleNormal="100" workbookViewId="0">
      <selection activeCell="Q6" sqref="Q6"/>
    </sheetView>
  </sheetViews>
  <sheetFormatPr defaultRowHeight="14.5" x14ac:dyDescent="0.35"/>
  <sheetData>
    <row r="7" spans="1:18" x14ac:dyDescent="0.35">
      <c r="R7" t="s">
        <v>276</v>
      </c>
    </row>
    <row r="14" spans="1:18" x14ac:dyDescent="0.35">
      <c r="R14" s="14"/>
    </row>
    <row r="15" spans="1:18" x14ac:dyDescent="0.35">
      <c r="A15" t="s">
        <v>275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 data</vt:lpstr>
      <vt:lpstr>clean data</vt:lpstr>
      <vt:lpstr>Analysis</vt:lpstr>
      <vt:lpstr>Charts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Tobi Ogunshakin</cp:lastModifiedBy>
  <dcterms:created xsi:type="dcterms:W3CDTF">2026-03-16T11:26:47Z</dcterms:created>
  <dcterms:modified xsi:type="dcterms:W3CDTF">2026-03-24T09:14:07Z</dcterms:modified>
</cp:coreProperties>
</file>